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codeName="ThisWorkbook" defaultThemeVersion="124226"/>
  <mc:AlternateContent xmlns:mc="http://schemas.openxmlformats.org/markup-compatibility/2006">
    <mc:Choice Requires="x15">
      <x15ac:absPath xmlns:x15ac="http://schemas.microsoft.com/office/spreadsheetml/2010/11/ac" url="C:\Dropbox\Repositories\py-nwreadinglist\nwreadinglist\data\"/>
    </mc:Choice>
  </mc:AlternateContent>
  <xr:revisionPtr revIDLastSave="0" documentId="13_ncr:1_{A403FA72-0E89-4C60-9A26-7CAF376990CC}" xr6:coauthVersionLast="47" xr6:coauthVersionMax="47" xr10:uidLastSave="{00000000-0000-0000-0000-000000000000}"/>
  <bookViews>
    <workbookView xWindow="1635" yWindow="810" windowWidth="23550" windowHeight="13665" tabRatio="313" firstSheet="7" activeTab="7" xr2:uid="{00000000-000D-0000-FFFF-FFFF00000000}"/>
  </bookViews>
  <sheets>
    <sheet name="Detailed2016" sheetId="16" state="hidden" r:id="rId1"/>
    <sheet name="Detailed2017" sheetId="17" state="hidden" r:id="rId2"/>
    <sheet name="Detailed2018" sheetId="18" state="hidden" r:id="rId3"/>
    <sheet name="Detailed2019" sheetId="19" state="hidden" r:id="rId4"/>
    <sheet name="Detailed2020" sheetId="20" state="hidden" r:id="rId5"/>
    <sheet name="Detailed2021" sheetId="21" state="hidden" r:id="rId6"/>
    <sheet name="Detailed2022" sheetId="22" state="hidden" r:id="rId7"/>
    <sheet name="Books" sheetId="1" r:id="rId8"/>
    <sheet name="Articles" sheetId="26" r:id="rId9"/>
    <sheet name="Others" sheetId="27" r:id="rId10"/>
  </sheets>
  <definedNames>
    <definedName name="_xlnm._FilterDatabase" localSheetId="8" hidden="1">Articles!$A$1:$Q$104</definedName>
    <definedName name="_xlnm._FilterDatabase" localSheetId="7" hidden="1">Books!$A$1:$T$371</definedName>
    <definedName name="_xlnm._FilterDatabase" localSheetId="9" hidden="1">Others!$A$1:$Q$5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S410" i="1" l="1"/>
  <c r="I410" i="1"/>
  <c r="H410" i="1"/>
  <c r="S409" i="1"/>
  <c r="I409" i="1"/>
  <c r="H409" i="1"/>
  <c r="S408" i="1"/>
  <c r="I408" i="1"/>
  <c r="H408" i="1"/>
  <c r="S407" i="1"/>
  <c r="I407" i="1"/>
  <c r="H407" i="1"/>
  <c r="S406" i="1"/>
  <c r="I406" i="1"/>
  <c r="H406" i="1"/>
  <c r="S405" i="1"/>
  <c r="I405" i="1"/>
  <c r="H405" i="1"/>
  <c r="S404" i="1"/>
  <c r="I404" i="1"/>
  <c r="H404" i="1"/>
  <c r="S403" i="1"/>
  <c r="I403" i="1"/>
  <c r="H403" i="1"/>
  <c r="S402" i="1"/>
  <c r="I402" i="1"/>
  <c r="H402" i="1"/>
  <c r="S401" i="1"/>
  <c r="I401" i="1"/>
  <c r="H401" i="1"/>
  <c r="S400" i="1"/>
  <c r="I400" i="1"/>
  <c r="H400" i="1"/>
  <c r="S399" i="1"/>
  <c r="I399" i="1"/>
  <c r="H399" i="1"/>
  <c r="S398" i="1"/>
  <c r="I398" i="1"/>
  <c r="H398" i="1"/>
  <c r="S397" i="1"/>
  <c r="H397" i="1"/>
  <c r="I397" i="1"/>
  <c r="S396" i="1"/>
  <c r="I396" i="1"/>
  <c r="H396" i="1"/>
  <c r="S395" i="1"/>
  <c r="S394" i="1"/>
  <c r="I395" i="1"/>
  <c r="H395" i="1"/>
  <c r="I394" i="1"/>
  <c r="H394" i="1"/>
  <c r="S393" i="1"/>
  <c r="I393" i="1"/>
  <c r="H393" i="1"/>
  <c r="S392" i="1"/>
  <c r="H392" i="1"/>
  <c r="I392" i="1"/>
  <c r="S391" i="1"/>
  <c r="I391" i="1"/>
  <c r="H391" i="1"/>
  <c r="S390" i="1"/>
  <c r="I390" i="1"/>
  <c r="H390" i="1"/>
  <c r="S389" i="1"/>
  <c r="I389" i="1"/>
  <c r="H389" i="1"/>
  <c r="S388" i="1"/>
  <c r="I388" i="1"/>
  <c r="H388" i="1"/>
  <c r="S387" i="1"/>
  <c r="H387" i="1"/>
  <c r="I387" i="1"/>
  <c r="S386" i="1"/>
  <c r="H386" i="1"/>
  <c r="I386" i="1"/>
  <c r="S385" i="1"/>
  <c r="H385" i="1"/>
  <c r="I385" i="1"/>
  <c r="S384" i="1"/>
  <c r="I384" i="1"/>
  <c r="H384" i="1"/>
  <c r="S383" i="1"/>
  <c r="I383" i="1"/>
  <c r="H383" i="1"/>
  <c r="S382" i="1"/>
  <c r="I382" i="1"/>
  <c r="H382" i="1"/>
  <c r="S381" i="1"/>
  <c r="I381" i="1"/>
  <c r="H381" i="1"/>
  <c r="S380" i="1"/>
  <c r="I380" i="1"/>
  <c r="H380" i="1"/>
  <c r="S379" i="1"/>
  <c r="I379" i="1"/>
  <c r="H379" i="1"/>
  <c r="S378" i="1"/>
  <c r="I378" i="1"/>
  <c r="H378" i="1"/>
  <c r="S377" i="1"/>
  <c r="I377" i="1"/>
  <c r="H377" i="1"/>
  <c r="S376" i="1"/>
  <c r="I376" i="1"/>
  <c r="H376" i="1"/>
  <c r="S375" i="1"/>
  <c r="I375" i="1"/>
  <c r="H375" i="1"/>
  <c r="S374" i="1"/>
  <c r="S373" i="1"/>
  <c r="I373" i="1"/>
  <c r="I374" i="1"/>
  <c r="H373" i="1"/>
  <c r="H374" i="1"/>
  <c r="S372" i="1"/>
  <c r="I372" i="1"/>
  <c r="H372" i="1"/>
  <c r="S125" i="1"/>
  <c r="I125" i="1"/>
  <c r="H125" i="1"/>
  <c r="S15" i="1" l="1"/>
  <c r="I15" i="1"/>
  <c r="H15" i="1"/>
  <c r="S230" i="1" l="1"/>
  <c r="I230" i="1"/>
  <c r="H230" i="1"/>
  <c r="S371" i="1" l="1"/>
  <c r="I371" i="1"/>
  <c r="H371" i="1"/>
  <c r="S370" i="1" l="1"/>
  <c r="I370" i="1"/>
  <c r="H370" i="1"/>
  <c r="S369" i="1"/>
  <c r="I369" i="1"/>
  <c r="H369" i="1"/>
  <c r="S368" i="1"/>
  <c r="I368" i="1"/>
  <c r="H368" i="1"/>
  <c r="S367" i="1"/>
  <c r="I367" i="1"/>
  <c r="H367" i="1"/>
  <c r="S366" i="1"/>
  <c r="I366" i="1"/>
  <c r="H366" i="1"/>
  <c r="S365" i="1"/>
  <c r="I365" i="1"/>
  <c r="H365" i="1"/>
  <c r="S364" i="1"/>
  <c r="I364" i="1"/>
  <c r="H364" i="1"/>
  <c r="S363" i="1"/>
  <c r="I363" i="1"/>
  <c r="H363" i="1"/>
  <c r="S122" i="1" l="1"/>
  <c r="I122" i="1"/>
  <c r="H122" i="1"/>
  <c r="S121" i="1"/>
  <c r="I121" i="1"/>
  <c r="H121" i="1"/>
  <c r="S238" i="1" l="1"/>
  <c r="H238" i="1"/>
  <c r="I238" i="1"/>
  <c r="S109" i="1"/>
  <c r="H109" i="1"/>
  <c r="I109" i="1"/>
  <c r="H108" i="1"/>
  <c r="I108" i="1"/>
  <c r="S108" i="1"/>
  <c r="S362" i="1"/>
  <c r="I362" i="1"/>
  <c r="H362" i="1"/>
  <c r="S361" i="1" l="1"/>
  <c r="I361" i="1"/>
  <c r="H361" i="1"/>
  <c r="S360" i="1"/>
  <c r="I360" i="1"/>
  <c r="H360" i="1"/>
  <c r="S359" i="1" l="1"/>
  <c r="I359" i="1"/>
  <c r="H359" i="1"/>
  <c r="S358" i="1"/>
  <c r="I358" i="1"/>
  <c r="H358" i="1"/>
  <c r="S357" i="1"/>
  <c r="I357" i="1"/>
  <c r="H357" i="1"/>
  <c r="S356" i="1"/>
  <c r="I356" i="1"/>
  <c r="H356" i="1"/>
  <c r="S355" i="1"/>
  <c r="I355" i="1"/>
  <c r="H355" i="1"/>
  <c r="S354" i="1" l="1"/>
  <c r="I354" i="1"/>
  <c r="H354" i="1"/>
  <c r="S353" i="1"/>
  <c r="I353" i="1"/>
  <c r="H353" i="1"/>
  <c r="S352" i="1"/>
  <c r="I352" i="1"/>
  <c r="H352" i="1"/>
  <c r="S351" i="1"/>
  <c r="I351" i="1"/>
  <c r="H351" i="1"/>
  <c r="S350" i="1"/>
  <c r="I350" i="1"/>
  <c r="H350" i="1"/>
  <c r="S349" i="1"/>
  <c r="I349" i="1"/>
  <c r="H349" i="1"/>
  <c r="S348" i="1" l="1"/>
  <c r="I348" i="1"/>
  <c r="H348" i="1"/>
  <c r="S347" i="1"/>
  <c r="I347" i="1"/>
  <c r="H347" i="1"/>
  <c r="S346" i="1" l="1"/>
  <c r="I346" i="1"/>
  <c r="H346" i="1"/>
  <c r="S345" i="1"/>
  <c r="I345" i="1"/>
  <c r="H345" i="1"/>
  <c r="S344" i="1" l="1"/>
  <c r="I344" i="1"/>
  <c r="H344" i="1"/>
  <c r="S343" i="1"/>
  <c r="I343" i="1"/>
  <c r="H343" i="1"/>
  <c r="S342" i="1"/>
  <c r="I342" i="1"/>
  <c r="H342" i="1"/>
  <c r="S341" i="1"/>
  <c r="I341" i="1"/>
  <c r="H341" i="1"/>
  <c r="S340" i="1" l="1"/>
  <c r="I340" i="1"/>
  <c r="H340" i="1"/>
  <c r="S339" i="1"/>
  <c r="I339" i="1"/>
  <c r="H339" i="1"/>
  <c r="S338" i="1"/>
  <c r="I338" i="1"/>
  <c r="H338" i="1"/>
  <c r="S337" i="1"/>
  <c r="I337" i="1"/>
  <c r="H337" i="1"/>
  <c r="S336" i="1" l="1"/>
  <c r="I336" i="1"/>
  <c r="H336" i="1"/>
  <c r="I335" i="1"/>
  <c r="H335" i="1"/>
  <c r="S335" i="1"/>
  <c r="S334" i="1" l="1"/>
  <c r="I334" i="1"/>
  <c r="H334" i="1"/>
  <c r="S333" i="1"/>
  <c r="I333" i="1"/>
  <c r="H333" i="1"/>
  <c r="S332" i="1"/>
  <c r="I332" i="1"/>
  <c r="H332" i="1"/>
  <c r="S331" i="1"/>
  <c r="I331" i="1"/>
  <c r="H331" i="1"/>
  <c r="S330" i="1"/>
  <c r="I330" i="1"/>
  <c r="H330" i="1"/>
  <c r="S329" i="1" l="1"/>
  <c r="I329" i="1"/>
  <c r="H329" i="1"/>
  <c r="S328" i="1"/>
  <c r="I328" i="1"/>
  <c r="H328" i="1"/>
  <c r="S327" i="1"/>
  <c r="I327" i="1" l="1"/>
  <c r="H327" i="1"/>
  <c r="S326" i="1"/>
  <c r="I326" i="1"/>
  <c r="H326" i="1"/>
  <c r="S325" i="1"/>
  <c r="I325" i="1"/>
  <c r="H325" i="1"/>
  <c r="S324" i="1"/>
  <c r="I324" i="1"/>
  <c r="H324" i="1"/>
  <c r="S323" i="1"/>
  <c r="I323" i="1"/>
  <c r="H323" i="1"/>
  <c r="S322" i="1" l="1"/>
  <c r="I322" i="1"/>
  <c r="H322" i="1"/>
  <c r="S321" i="1"/>
  <c r="I321" i="1"/>
  <c r="H321" i="1"/>
  <c r="S320" i="1"/>
  <c r="I320" i="1"/>
  <c r="H320" i="1"/>
  <c r="S319" i="1"/>
  <c r="I319" i="1"/>
  <c r="H319" i="1"/>
  <c r="S318" i="1"/>
  <c r="I318" i="1"/>
  <c r="H318" i="1"/>
  <c r="H317" i="1"/>
  <c r="I317" i="1"/>
  <c r="S317" i="1"/>
  <c r="S316" i="1"/>
  <c r="I316" i="1"/>
  <c r="H316" i="1"/>
  <c r="S315" i="1"/>
  <c r="I315" i="1"/>
  <c r="H315" i="1"/>
  <c r="S314" i="1" l="1"/>
  <c r="I314" i="1"/>
  <c r="H314" i="1"/>
  <c r="S313" i="1"/>
  <c r="I313" i="1"/>
  <c r="H313" i="1"/>
  <c r="S270" i="1" l="1"/>
  <c r="S271" i="1"/>
  <c r="S272" i="1"/>
  <c r="S273" i="1"/>
  <c r="I271" i="1"/>
  <c r="H271" i="1"/>
  <c r="S312" i="1" l="1"/>
  <c r="I312" i="1"/>
  <c r="H312" i="1"/>
  <c r="S311" i="1" l="1"/>
  <c r="I311" i="1"/>
  <c r="H311" i="1"/>
  <c r="S310" i="1"/>
  <c r="I310" i="1"/>
  <c r="H310" i="1"/>
  <c r="S309" i="1" l="1"/>
  <c r="I309" i="1"/>
  <c r="H309" i="1"/>
  <c r="S308" i="1"/>
  <c r="I308" i="1"/>
  <c r="H308" i="1"/>
  <c r="S307" i="1"/>
  <c r="I307" i="1"/>
  <c r="H307" i="1"/>
  <c r="S306" i="1"/>
  <c r="I306" i="1"/>
  <c r="H306" i="1"/>
  <c r="S305" i="1"/>
  <c r="I305" i="1"/>
  <c r="H305" i="1"/>
  <c r="S304" i="1"/>
  <c r="I304" i="1"/>
  <c r="H304" i="1"/>
  <c r="S303" i="1" l="1"/>
  <c r="I303" i="1"/>
  <c r="H303" i="1"/>
  <c r="S302" i="1"/>
  <c r="I302" i="1"/>
  <c r="H302" i="1"/>
  <c r="S301" i="1"/>
  <c r="I301" i="1"/>
  <c r="H301" i="1"/>
  <c r="S300" i="1"/>
  <c r="I300" i="1"/>
  <c r="H300" i="1"/>
  <c r="S299" i="1"/>
  <c r="I299" i="1"/>
  <c r="H299" i="1"/>
  <c r="S298" i="1" l="1"/>
  <c r="I298" i="1"/>
  <c r="H298" i="1"/>
  <c r="S297" i="1"/>
  <c r="I297" i="1"/>
  <c r="H297" i="1"/>
  <c r="S296" i="1"/>
  <c r="I296" i="1"/>
  <c r="H296" i="1"/>
  <c r="S295" i="1"/>
  <c r="I295" i="1"/>
  <c r="H295" i="1"/>
  <c r="S294" i="1"/>
  <c r="I294" i="1"/>
  <c r="H294" i="1"/>
  <c r="S293" i="1" l="1"/>
  <c r="I293" i="1"/>
  <c r="H293" i="1"/>
  <c r="S292" i="1"/>
  <c r="I292" i="1"/>
  <c r="H292" i="1"/>
  <c r="S291" i="1"/>
  <c r="I291" i="1"/>
  <c r="H291" i="1"/>
  <c r="S290" i="1"/>
  <c r="I290" i="1"/>
  <c r="H290" i="1"/>
  <c r="S289" i="1" l="1"/>
  <c r="H289" i="1"/>
  <c r="I289" i="1"/>
  <c r="S288" i="1"/>
  <c r="I288" i="1"/>
  <c r="H288" i="1"/>
  <c r="S287" i="1" l="1"/>
  <c r="I287" i="1"/>
  <c r="H287" i="1"/>
  <c r="S286" i="1"/>
  <c r="I286" i="1"/>
  <c r="H286" i="1"/>
  <c r="S285" i="1"/>
  <c r="I285" i="1"/>
  <c r="H285" i="1"/>
  <c r="S284" i="1" l="1"/>
  <c r="I284" i="1"/>
  <c r="H284" i="1"/>
  <c r="S283" i="1"/>
  <c r="I283" i="1"/>
  <c r="H283" i="1"/>
  <c r="S282" i="1" l="1"/>
  <c r="I282" i="1"/>
  <c r="H282" i="1"/>
  <c r="S281" i="1"/>
  <c r="I281" i="1"/>
  <c r="H281" i="1"/>
  <c r="S280" i="1"/>
  <c r="I280" i="1"/>
  <c r="H280" i="1"/>
  <c r="S279" i="1"/>
  <c r="I279" i="1"/>
  <c r="H279" i="1"/>
  <c r="S278" i="1"/>
  <c r="I278" i="1"/>
  <c r="H278" i="1"/>
  <c r="S277" i="1"/>
  <c r="I277" i="1"/>
  <c r="H277" i="1"/>
  <c r="S276" i="1"/>
  <c r="I276" i="1"/>
  <c r="H276" i="1"/>
  <c r="S275" i="1"/>
  <c r="I275" i="1"/>
  <c r="H275" i="1"/>
  <c r="S274" i="1"/>
  <c r="I274" i="1"/>
  <c r="H274" i="1"/>
  <c r="I273" i="1"/>
  <c r="H273" i="1"/>
  <c r="I272" i="1"/>
  <c r="H272" i="1"/>
  <c r="I270" i="1"/>
  <c r="H270" i="1"/>
  <c r="S269" i="1"/>
  <c r="I269" i="1"/>
  <c r="H269" i="1"/>
  <c r="S268" i="1"/>
  <c r="I268" i="1"/>
  <c r="H268" i="1"/>
  <c r="S267" i="1" l="1"/>
  <c r="I267" i="1"/>
  <c r="H267" i="1"/>
  <c r="S266" i="1"/>
  <c r="I266" i="1"/>
  <c r="H266" i="1"/>
  <c r="S265" i="1"/>
  <c r="H265" i="1"/>
  <c r="I265" i="1"/>
  <c r="S264" i="1" l="1"/>
  <c r="I264" i="1"/>
  <c r="H264" i="1"/>
  <c r="S263" i="1" l="1"/>
  <c r="I263" i="1"/>
  <c r="H263" i="1"/>
  <c r="S262" i="1"/>
  <c r="I262" i="1"/>
  <c r="H262" i="1"/>
  <c r="S261" i="1" l="1"/>
  <c r="I261" i="1"/>
  <c r="H261" i="1"/>
  <c r="S260" i="1"/>
  <c r="I260" i="1"/>
  <c r="H260" i="1"/>
  <c r="S259" i="1"/>
  <c r="I259" i="1"/>
  <c r="H259" i="1"/>
  <c r="S258" i="1"/>
  <c r="I258" i="1"/>
  <c r="H258" i="1"/>
  <c r="S257" i="1"/>
  <c r="I257" i="1"/>
  <c r="H257" i="1"/>
  <c r="S256" i="1"/>
  <c r="I256" i="1"/>
  <c r="H256" i="1"/>
  <c r="S255" i="1"/>
  <c r="I255" i="1"/>
  <c r="H255" i="1"/>
  <c r="S254" i="1"/>
  <c r="I254" i="1"/>
  <c r="H254" i="1"/>
  <c r="S253" i="1"/>
  <c r="H253" i="1"/>
  <c r="I253" i="1"/>
  <c r="S252" i="1" l="1"/>
  <c r="H252" i="1"/>
  <c r="I252" i="1"/>
  <c r="S251" i="1"/>
  <c r="I251" i="1"/>
  <c r="H251" i="1"/>
  <c r="S250" i="1"/>
  <c r="I250" i="1"/>
  <c r="H250" i="1"/>
  <c r="S249" i="1"/>
  <c r="H249" i="1"/>
  <c r="I249" i="1"/>
  <c r="S241" i="1" l="1"/>
  <c r="I241" i="1"/>
  <c r="H241" i="1"/>
  <c r="S247" i="1"/>
  <c r="S248" i="1"/>
  <c r="I248" i="1"/>
  <c r="H248" i="1"/>
  <c r="I247" i="1"/>
  <c r="H247" i="1"/>
  <c r="S246" i="1"/>
  <c r="I246" i="1"/>
  <c r="H246" i="1"/>
  <c r="S245" i="1"/>
  <c r="I245" i="1"/>
  <c r="H245" i="1"/>
  <c r="S244" i="1"/>
  <c r="I244" i="1"/>
  <c r="H244" i="1"/>
  <c r="S243" i="1"/>
  <c r="I243" i="1"/>
  <c r="H243" i="1"/>
  <c r="S242" i="1"/>
  <c r="H242" i="1"/>
  <c r="I242" i="1"/>
  <c r="Q5" i="27" l="1"/>
  <c r="H5" i="27"/>
  <c r="G5" i="27"/>
  <c r="Q4" i="27"/>
  <c r="H4" i="27"/>
  <c r="G4" i="27"/>
  <c r="Q3" i="27"/>
  <c r="H3" i="27"/>
  <c r="G3" i="27"/>
  <c r="Q2" i="27"/>
  <c r="H2" i="27"/>
  <c r="G2" i="27"/>
  <c r="Q104" i="26" l="1"/>
  <c r="H104" i="26"/>
  <c r="G104" i="26"/>
  <c r="Q103" i="26"/>
  <c r="H103" i="26"/>
  <c r="G103" i="26"/>
  <c r="Q102" i="26"/>
  <c r="H102" i="26"/>
  <c r="G102" i="26"/>
  <c r="Q101" i="26"/>
  <c r="H101" i="26"/>
  <c r="G101" i="26"/>
  <c r="Q100" i="26"/>
  <c r="H100" i="26"/>
  <c r="G100" i="26"/>
  <c r="Q99" i="26"/>
  <c r="H99" i="26"/>
  <c r="G99" i="26"/>
  <c r="Q98" i="26"/>
  <c r="H98" i="26"/>
  <c r="G98" i="26"/>
  <c r="Q97" i="26"/>
  <c r="H97" i="26"/>
  <c r="G97" i="26"/>
  <c r="Q96" i="26"/>
  <c r="H96" i="26"/>
  <c r="G96" i="26"/>
  <c r="Q95" i="26"/>
  <c r="H95" i="26"/>
  <c r="G95" i="26"/>
  <c r="Q94" i="26"/>
  <c r="H94" i="26"/>
  <c r="G94" i="26"/>
  <c r="Q93" i="26"/>
  <c r="H93" i="26"/>
  <c r="G93" i="26"/>
  <c r="Q92" i="26"/>
  <c r="H92" i="26"/>
  <c r="G92" i="26"/>
  <c r="Q91" i="26"/>
  <c r="H91" i="26"/>
  <c r="G91" i="26"/>
  <c r="Q90" i="26"/>
  <c r="H90" i="26"/>
  <c r="G90" i="26"/>
  <c r="Q89" i="26"/>
  <c r="H89" i="26"/>
  <c r="G89" i="26"/>
  <c r="Q88" i="26"/>
  <c r="H88" i="26"/>
  <c r="G88" i="26"/>
  <c r="Q87" i="26"/>
  <c r="H87" i="26"/>
  <c r="G87" i="26"/>
  <c r="Q86" i="26"/>
  <c r="H86" i="26"/>
  <c r="G86" i="26"/>
  <c r="Q85" i="26"/>
  <c r="H85" i="26"/>
  <c r="G85" i="26"/>
  <c r="Q84" i="26"/>
  <c r="H84" i="26"/>
  <c r="G84" i="26"/>
  <c r="Q83" i="26"/>
  <c r="H83" i="26"/>
  <c r="G83" i="26"/>
  <c r="Q82" i="26"/>
  <c r="H82" i="26"/>
  <c r="G82" i="26"/>
  <c r="Q81" i="26"/>
  <c r="H81" i="26"/>
  <c r="G81" i="26"/>
  <c r="Q80" i="26"/>
  <c r="H80" i="26"/>
  <c r="G80" i="26"/>
  <c r="Q79" i="26"/>
  <c r="H79" i="26"/>
  <c r="G79" i="26"/>
  <c r="Q78" i="26"/>
  <c r="H78" i="26"/>
  <c r="G78" i="26"/>
  <c r="Q77" i="26"/>
  <c r="H77" i="26"/>
  <c r="G77" i="26"/>
  <c r="Q76" i="26"/>
  <c r="H76" i="26"/>
  <c r="G76" i="26"/>
  <c r="Q75" i="26"/>
  <c r="H75" i="26"/>
  <c r="G75" i="26"/>
  <c r="Q74" i="26"/>
  <c r="H74" i="26"/>
  <c r="G74" i="26"/>
  <c r="Q73" i="26"/>
  <c r="H73" i="26"/>
  <c r="G73" i="26"/>
  <c r="Q72" i="26"/>
  <c r="H72" i="26"/>
  <c r="G72" i="26"/>
  <c r="Q71" i="26"/>
  <c r="H71" i="26"/>
  <c r="G71" i="26"/>
  <c r="Q70" i="26"/>
  <c r="H70" i="26"/>
  <c r="G70" i="26"/>
  <c r="Q69" i="26"/>
  <c r="H69" i="26"/>
  <c r="G69" i="26"/>
  <c r="Q68" i="26"/>
  <c r="H68" i="26"/>
  <c r="G68" i="26"/>
  <c r="Q67" i="26"/>
  <c r="H67" i="26"/>
  <c r="G67" i="26"/>
  <c r="Q66" i="26"/>
  <c r="H66" i="26"/>
  <c r="G66" i="26"/>
  <c r="Q65" i="26"/>
  <c r="H65" i="26"/>
  <c r="G65" i="26"/>
  <c r="Q64" i="26"/>
  <c r="H64" i="26"/>
  <c r="G64" i="26"/>
  <c r="Q63" i="26"/>
  <c r="H63" i="26"/>
  <c r="G63" i="26"/>
  <c r="Q62" i="26"/>
  <c r="H62" i="26"/>
  <c r="G62" i="26"/>
  <c r="Q61" i="26"/>
  <c r="H61" i="26"/>
  <c r="G61" i="26"/>
  <c r="Q60" i="26"/>
  <c r="H60" i="26"/>
  <c r="G60" i="26"/>
  <c r="Q59" i="26"/>
  <c r="H59" i="26"/>
  <c r="G59" i="26"/>
  <c r="Q58" i="26"/>
  <c r="H58" i="26"/>
  <c r="G58" i="26"/>
  <c r="Q57" i="26"/>
  <c r="H57" i="26"/>
  <c r="G57" i="26"/>
  <c r="Q56" i="26"/>
  <c r="H56" i="26"/>
  <c r="G56" i="26"/>
  <c r="Q55" i="26"/>
  <c r="H55" i="26"/>
  <c r="G55" i="26"/>
  <c r="Q54" i="26"/>
  <c r="H54" i="26"/>
  <c r="G54" i="26"/>
  <c r="Q53" i="26"/>
  <c r="H53" i="26"/>
  <c r="G53" i="26"/>
  <c r="Q52" i="26"/>
  <c r="H52" i="26"/>
  <c r="G52" i="26"/>
  <c r="Q51" i="26"/>
  <c r="H51" i="26"/>
  <c r="G51" i="26"/>
  <c r="Q50" i="26"/>
  <c r="H50" i="26"/>
  <c r="G50" i="26"/>
  <c r="Q49" i="26"/>
  <c r="H49" i="26"/>
  <c r="G49" i="26"/>
  <c r="Q48" i="26"/>
  <c r="H48" i="26"/>
  <c r="G48" i="26"/>
  <c r="Q47" i="26"/>
  <c r="H47" i="26"/>
  <c r="G47" i="26"/>
  <c r="Q46" i="26"/>
  <c r="H46" i="26"/>
  <c r="G46" i="26"/>
  <c r="Q45" i="26"/>
  <c r="H45" i="26"/>
  <c r="G45" i="26"/>
  <c r="Q44" i="26"/>
  <c r="H44" i="26"/>
  <c r="G44" i="26"/>
  <c r="Q43" i="26"/>
  <c r="H43" i="26"/>
  <c r="G43" i="26"/>
  <c r="Q42" i="26"/>
  <c r="H42" i="26"/>
  <c r="G42" i="26"/>
  <c r="Q41" i="26"/>
  <c r="H41" i="26"/>
  <c r="G41" i="26"/>
  <c r="Q40" i="26"/>
  <c r="H40" i="26"/>
  <c r="G40" i="26"/>
  <c r="Q39" i="26"/>
  <c r="H39" i="26"/>
  <c r="G39" i="26"/>
  <c r="Q38" i="26"/>
  <c r="H38" i="26"/>
  <c r="G38" i="26"/>
  <c r="Q37" i="26"/>
  <c r="H37" i="26"/>
  <c r="G37" i="26"/>
  <c r="Q36" i="26"/>
  <c r="H36" i="26"/>
  <c r="G36" i="26"/>
  <c r="Q35" i="26"/>
  <c r="H35" i="26"/>
  <c r="G35" i="26"/>
  <c r="Q34" i="26"/>
  <c r="H34" i="26"/>
  <c r="G34" i="26"/>
  <c r="Q33" i="26"/>
  <c r="H33" i="26"/>
  <c r="G33" i="26"/>
  <c r="Q32" i="26"/>
  <c r="H32" i="26"/>
  <c r="G32" i="26"/>
  <c r="Q31" i="26"/>
  <c r="H31" i="26"/>
  <c r="G31" i="26"/>
  <c r="Q30" i="26"/>
  <c r="H30" i="26"/>
  <c r="G30" i="26"/>
  <c r="Q29" i="26"/>
  <c r="H29" i="26"/>
  <c r="G29" i="26"/>
  <c r="Q28" i="26"/>
  <c r="H28" i="26"/>
  <c r="G28" i="26"/>
  <c r="Q27" i="26"/>
  <c r="H27" i="26"/>
  <c r="G27" i="26"/>
  <c r="Q26" i="26"/>
  <c r="H26" i="26"/>
  <c r="G26" i="26"/>
  <c r="Q25" i="26"/>
  <c r="H25" i="26"/>
  <c r="G25" i="26"/>
  <c r="Q24" i="26"/>
  <c r="H24" i="26"/>
  <c r="G24" i="26"/>
  <c r="Q23" i="26"/>
  <c r="H23" i="26"/>
  <c r="G23" i="26"/>
  <c r="Q22" i="26"/>
  <c r="H22" i="26"/>
  <c r="G22" i="26"/>
  <c r="Q21" i="26"/>
  <c r="H21" i="26"/>
  <c r="G21" i="26"/>
  <c r="Q20" i="26"/>
  <c r="H20" i="26"/>
  <c r="G20" i="26"/>
  <c r="Q19" i="26"/>
  <c r="H19" i="26"/>
  <c r="G19" i="26"/>
  <c r="Q18" i="26"/>
  <c r="H18" i="26"/>
  <c r="G18" i="26"/>
  <c r="Q17" i="26"/>
  <c r="H17" i="26"/>
  <c r="G17" i="26"/>
  <c r="Q16" i="26"/>
  <c r="H16" i="26"/>
  <c r="G16" i="26"/>
  <c r="Q15" i="26"/>
  <c r="H15" i="26"/>
  <c r="G15" i="26"/>
  <c r="Q14" i="26"/>
  <c r="H14" i="26"/>
  <c r="G14" i="26"/>
  <c r="Q13" i="26"/>
  <c r="H13" i="26"/>
  <c r="G13" i="26"/>
  <c r="Q12" i="26"/>
  <c r="H12" i="26"/>
  <c r="G12" i="26"/>
  <c r="Q11" i="26"/>
  <c r="H11" i="26"/>
  <c r="G11" i="26"/>
  <c r="Q10" i="26"/>
  <c r="H10" i="26"/>
  <c r="G10" i="26"/>
  <c r="Q9" i="26"/>
  <c r="H9" i="26"/>
  <c r="G9" i="26"/>
  <c r="Q8" i="26"/>
  <c r="H8" i="26"/>
  <c r="G8" i="26"/>
  <c r="Q7" i="26"/>
  <c r="H7" i="26"/>
  <c r="G7" i="26"/>
  <c r="Q6" i="26"/>
  <c r="H6" i="26"/>
  <c r="G6" i="26"/>
  <c r="Q5" i="26"/>
  <c r="H5" i="26"/>
  <c r="G5" i="26"/>
  <c r="Q4" i="26"/>
  <c r="H4" i="26"/>
  <c r="G4" i="26"/>
  <c r="Q3" i="26"/>
  <c r="H3" i="26"/>
  <c r="G3" i="26"/>
  <c r="Q2" i="26"/>
  <c r="H2" i="26"/>
  <c r="G2" i="26"/>
  <c r="S2" i="1" l="1"/>
  <c r="S3" i="1"/>
  <c r="S4" i="1"/>
  <c r="S5" i="1"/>
  <c r="S6" i="1"/>
  <c r="S7" i="1"/>
  <c r="S8" i="1"/>
  <c r="S9" i="1"/>
  <c r="S10" i="1"/>
  <c r="S11" i="1"/>
  <c r="S12" i="1"/>
  <c r="S13" i="1"/>
  <c r="S14"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10" i="1"/>
  <c r="S111" i="1"/>
  <c r="S112" i="1"/>
  <c r="S113" i="1"/>
  <c r="S114" i="1"/>
  <c r="S115" i="1"/>
  <c r="S116" i="1"/>
  <c r="S117" i="1"/>
  <c r="S118" i="1"/>
  <c r="S119" i="1"/>
  <c r="S120" i="1"/>
  <c r="S123" i="1"/>
  <c r="S124"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1" i="1"/>
  <c r="S232" i="1"/>
  <c r="S233" i="1"/>
  <c r="S234" i="1"/>
  <c r="S235" i="1"/>
  <c r="S236" i="1"/>
  <c r="S237" i="1"/>
  <c r="S239" i="1"/>
  <c r="S240" i="1"/>
  <c r="I240" i="1"/>
  <c r="H240" i="1"/>
  <c r="H239" i="1" l="1"/>
  <c r="I239" i="1"/>
  <c r="I237" i="1" l="1"/>
  <c r="H237" i="1"/>
  <c r="I236" i="1"/>
  <c r="H236" i="1"/>
  <c r="I235" i="1" l="1"/>
  <c r="H235" i="1"/>
  <c r="I234" i="1"/>
  <c r="H234" i="1"/>
  <c r="I233" i="1"/>
  <c r="H233" i="1"/>
  <c r="I232" i="1"/>
  <c r="H232" i="1"/>
  <c r="I231" i="1"/>
  <c r="H231" i="1"/>
  <c r="I229" i="1"/>
  <c r="H229" i="1"/>
  <c r="I228" i="1"/>
  <c r="H228" i="1"/>
  <c r="I227" i="1"/>
  <c r="H227" i="1"/>
  <c r="I226" i="1"/>
  <c r="H226" i="1"/>
  <c r="I225" i="1"/>
  <c r="H225" i="1"/>
  <c r="I224" i="1"/>
  <c r="H224" i="1"/>
  <c r="I213" i="1" l="1"/>
  <c r="I214" i="1"/>
  <c r="I215" i="1"/>
  <c r="I216" i="1"/>
  <c r="I217" i="1"/>
  <c r="I218" i="1"/>
  <c r="I219" i="1"/>
  <c r="I220" i="1"/>
  <c r="I221" i="1"/>
  <c r="I222" i="1"/>
  <c r="I223" i="1"/>
  <c r="H213" i="1"/>
  <c r="H214" i="1"/>
  <c r="H215" i="1"/>
  <c r="H216" i="1"/>
  <c r="H217" i="1"/>
  <c r="H218" i="1"/>
  <c r="H219" i="1"/>
  <c r="H220" i="1"/>
  <c r="H221" i="1"/>
  <c r="H222" i="1"/>
  <c r="H223" i="1"/>
  <c r="I207" i="1" l="1"/>
  <c r="I208" i="1"/>
  <c r="I209" i="1"/>
  <c r="I210" i="1"/>
  <c r="I211" i="1"/>
  <c r="I212" i="1"/>
  <c r="H207" i="1"/>
  <c r="H208" i="1"/>
  <c r="H209" i="1"/>
  <c r="H210" i="1"/>
  <c r="H211" i="1"/>
  <c r="H212" i="1"/>
  <c r="I203" i="1" l="1"/>
  <c r="I204" i="1"/>
  <c r="I205" i="1"/>
  <c r="I206" i="1"/>
  <c r="H203" i="1"/>
  <c r="H204" i="1"/>
  <c r="H205" i="1"/>
  <c r="H206" i="1"/>
  <c r="I202" i="1" l="1"/>
  <c r="H202" i="1"/>
  <c r="I201" i="1"/>
  <c r="H201" i="1"/>
  <c r="I200" i="1"/>
  <c r="H200" i="1"/>
  <c r="I199" i="1"/>
  <c r="H199" i="1"/>
  <c r="I198" i="1"/>
  <c r="H198" i="1"/>
  <c r="I197" i="1" l="1"/>
  <c r="H197" i="1"/>
  <c r="I196" i="1"/>
  <c r="H196" i="1"/>
  <c r="I195" i="1"/>
  <c r="H195" i="1"/>
  <c r="I194" i="1" l="1"/>
  <c r="H194" i="1"/>
  <c r="I193" i="1"/>
  <c r="H193" i="1"/>
  <c r="I192" i="1"/>
  <c r="H192" i="1"/>
  <c r="I191" i="1"/>
  <c r="H191" i="1"/>
  <c r="I190" i="1"/>
  <c r="H190" i="1"/>
  <c r="I189" i="1"/>
  <c r="H189" i="1"/>
  <c r="I188" i="1"/>
  <c r="H188" i="1"/>
  <c r="I187" i="1"/>
  <c r="H187" i="1"/>
  <c r="I186" i="1"/>
  <c r="H186" i="1"/>
  <c r="I185" i="1"/>
  <c r="H185" i="1"/>
  <c r="I182" i="1" l="1"/>
  <c r="I183" i="1"/>
  <c r="I184" i="1"/>
  <c r="H182" i="1"/>
  <c r="H183" i="1"/>
  <c r="H184" i="1"/>
  <c r="I181" i="1" l="1"/>
  <c r="H181" i="1"/>
  <c r="I162" i="1" l="1"/>
  <c r="I163" i="1"/>
  <c r="I164" i="1"/>
  <c r="I165" i="1"/>
  <c r="I166" i="1"/>
  <c r="I167" i="1"/>
  <c r="I168" i="1"/>
  <c r="I169" i="1"/>
  <c r="I170" i="1"/>
  <c r="I171" i="1"/>
  <c r="I172" i="1"/>
  <c r="I173" i="1"/>
  <c r="I174" i="1"/>
  <c r="I175" i="1"/>
  <c r="I176" i="1"/>
  <c r="I177" i="1"/>
  <c r="I178" i="1"/>
  <c r="I179" i="1"/>
  <c r="I180" i="1"/>
  <c r="H162" i="1"/>
  <c r="H163" i="1"/>
  <c r="H164" i="1"/>
  <c r="H165" i="1"/>
  <c r="H166" i="1"/>
  <c r="H167" i="1"/>
  <c r="H168" i="1"/>
  <c r="H169" i="1"/>
  <c r="H170" i="1"/>
  <c r="H171" i="1"/>
  <c r="H172" i="1"/>
  <c r="H173" i="1"/>
  <c r="H174" i="1"/>
  <c r="H175" i="1"/>
  <c r="H176" i="1"/>
  <c r="H177" i="1"/>
  <c r="H178" i="1"/>
  <c r="H179" i="1"/>
  <c r="H180" i="1"/>
  <c r="I126" i="1" l="1"/>
  <c r="H161" i="1" l="1"/>
  <c r="I161" i="1"/>
  <c r="I160" i="1" l="1"/>
  <c r="H160" i="1"/>
  <c r="I159" i="1"/>
  <c r="H159" i="1"/>
  <c r="I158" i="1"/>
  <c r="H158" i="1"/>
  <c r="I157" i="1"/>
  <c r="H157" i="1"/>
  <c r="I156" i="1" l="1"/>
  <c r="H156" i="1"/>
  <c r="I155" i="1"/>
  <c r="H155" i="1"/>
  <c r="I154" i="1"/>
  <c r="H154" i="1"/>
  <c r="I153" i="1"/>
  <c r="H153" i="1"/>
  <c r="I152" i="1"/>
  <c r="H152" i="1"/>
  <c r="I151" i="1"/>
  <c r="H151" i="1"/>
  <c r="I150" i="1"/>
  <c r="H150" i="1"/>
  <c r="I149" i="1"/>
  <c r="H149" i="1"/>
  <c r="I148" i="1"/>
  <c r="H148" i="1"/>
  <c r="I147" i="1"/>
  <c r="H147" i="1"/>
  <c r="H146" i="1"/>
  <c r="I146" i="1"/>
  <c r="I13" i="1" l="1"/>
  <c r="I14"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8" i="1"/>
  <c r="I79" i="1"/>
  <c r="I80" i="1"/>
  <c r="I81" i="1"/>
  <c r="I82" i="1"/>
  <c r="I83" i="1"/>
  <c r="I84" i="1"/>
  <c r="I85" i="1"/>
  <c r="I76" i="1"/>
  <c r="I77" i="1"/>
  <c r="I86" i="1"/>
  <c r="I87" i="1"/>
  <c r="I88" i="1"/>
  <c r="I89" i="1"/>
  <c r="I90" i="1"/>
  <c r="I91" i="1"/>
  <c r="I92" i="1"/>
  <c r="I93" i="1"/>
  <c r="I94" i="1"/>
  <c r="I95" i="1"/>
  <c r="I96" i="1"/>
  <c r="I97" i="1"/>
  <c r="I98" i="1"/>
  <c r="I99" i="1"/>
  <c r="I100" i="1"/>
  <c r="I101" i="1"/>
  <c r="I102" i="1"/>
  <c r="I103" i="1"/>
  <c r="I104" i="1"/>
  <c r="I105" i="1"/>
  <c r="I106" i="1"/>
  <c r="I107" i="1"/>
  <c r="I110" i="1"/>
  <c r="I111" i="1"/>
  <c r="I112" i="1"/>
  <c r="I113" i="1"/>
  <c r="I114" i="1"/>
  <c r="I115" i="1"/>
  <c r="I116" i="1"/>
  <c r="I117" i="1"/>
  <c r="I118" i="1"/>
  <c r="I119" i="1"/>
  <c r="I120" i="1"/>
  <c r="I123" i="1"/>
  <c r="I124" i="1"/>
  <c r="I127" i="1"/>
  <c r="I128" i="1"/>
  <c r="I129" i="1"/>
  <c r="I130" i="1"/>
  <c r="I131" i="1"/>
  <c r="I132" i="1"/>
  <c r="I133" i="1"/>
  <c r="I134" i="1"/>
  <c r="I135" i="1"/>
  <c r="I136" i="1"/>
  <c r="I137" i="1"/>
  <c r="I138" i="1"/>
  <c r="I139" i="1"/>
  <c r="I140" i="1"/>
  <c r="I141" i="1"/>
  <c r="I142" i="1"/>
  <c r="I143" i="1"/>
  <c r="I144" i="1"/>
  <c r="I145" i="1"/>
  <c r="I2" i="1"/>
  <c r="I3" i="1"/>
  <c r="I4" i="1"/>
  <c r="I5" i="1"/>
  <c r="I6" i="1"/>
  <c r="I7" i="1"/>
  <c r="I8" i="1"/>
  <c r="I9" i="1"/>
  <c r="I10" i="1"/>
  <c r="I11" i="1"/>
  <c r="I12" i="1"/>
  <c r="H62" i="1"/>
  <c r="H63" i="1"/>
  <c r="H64" i="1"/>
  <c r="H65" i="1"/>
  <c r="H66" i="1"/>
  <c r="H67" i="1"/>
  <c r="H68" i="1"/>
  <c r="H69" i="1"/>
  <c r="H70" i="1"/>
  <c r="H71" i="1"/>
  <c r="H72" i="1"/>
  <c r="H73" i="1"/>
  <c r="H74" i="1"/>
  <c r="H75" i="1"/>
  <c r="H78" i="1"/>
  <c r="H79" i="1"/>
  <c r="H80" i="1"/>
  <c r="H81" i="1"/>
  <c r="H82" i="1"/>
  <c r="H83" i="1"/>
  <c r="H84" i="1"/>
  <c r="H85" i="1"/>
  <c r="H76" i="1"/>
  <c r="H77" i="1"/>
  <c r="H86" i="1"/>
  <c r="H87" i="1"/>
  <c r="H88" i="1"/>
  <c r="H89" i="1"/>
  <c r="H90" i="1"/>
  <c r="H91" i="1"/>
  <c r="H92" i="1"/>
  <c r="H93" i="1"/>
  <c r="H94" i="1"/>
  <c r="H95" i="1"/>
  <c r="H96" i="1"/>
  <c r="H97" i="1"/>
  <c r="H98" i="1"/>
  <c r="H99" i="1"/>
  <c r="H100" i="1"/>
  <c r="H101" i="1"/>
  <c r="H102" i="1"/>
  <c r="H103" i="1"/>
  <c r="H104" i="1"/>
  <c r="H105" i="1"/>
  <c r="H106" i="1"/>
  <c r="H107" i="1"/>
  <c r="H110" i="1"/>
  <c r="H111" i="1"/>
  <c r="H112" i="1"/>
  <c r="H113" i="1"/>
  <c r="H114" i="1"/>
  <c r="H115" i="1"/>
  <c r="H116" i="1"/>
  <c r="H117" i="1"/>
  <c r="H118" i="1"/>
  <c r="H119" i="1"/>
  <c r="H120" i="1"/>
  <c r="H123" i="1"/>
  <c r="H124" i="1"/>
  <c r="H127" i="1"/>
  <c r="H128" i="1"/>
  <c r="H129" i="1"/>
  <c r="H130" i="1"/>
  <c r="H131" i="1"/>
  <c r="H132" i="1"/>
  <c r="H133" i="1"/>
  <c r="H134" i="1"/>
  <c r="H135" i="1"/>
  <c r="H136" i="1"/>
  <c r="H137" i="1"/>
  <c r="H138" i="1"/>
  <c r="H139" i="1"/>
  <c r="H140" i="1"/>
  <c r="H141" i="1"/>
  <c r="H142" i="1"/>
  <c r="H143" i="1"/>
  <c r="H144" i="1"/>
  <c r="H145"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13" i="1"/>
  <c r="H14" i="1"/>
  <c r="H16" i="1"/>
  <c r="H17" i="1"/>
  <c r="H18" i="1"/>
  <c r="H2" i="1"/>
  <c r="H3" i="1"/>
  <c r="H4" i="1"/>
  <c r="H5" i="1"/>
  <c r="H6" i="1"/>
  <c r="H7" i="1"/>
  <c r="H8" i="1"/>
  <c r="H9" i="1"/>
  <c r="H10" i="1"/>
  <c r="H11" i="1"/>
  <c r="H12" i="1"/>
  <c r="F14" i="22"/>
  <c r="F6" i="21"/>
  <c r="E6" i="21"/>
  <c r="H11" i="20"/>
  <c r="B8" i="16"/>
  <c r="E4" i="22"/>
  <c r="C13" i="21"/>
  <c r="F3" i="22"/>
  <c r="H11" i="17"/>
  <c r="H3" i="22"/>
  <c r="C5" i="19"/>
  <c r="C10" i="17"/>
  <c r="F3" i="17"/>
  <c r="F6" i="16"/>
  <c r="F9" i="17"/>
  <c r="H10" i="18"/>
  <c r="H4" i="18"/>
  <c r="B5" i="17"/>
  <c r="H7" i="19"/>
  <c r="E11" i="21"/>
  <c r="E4" i="20"/>
  <c r="H6" i="18"/>
  <c r="H7" i="22"/>
  <c r="B14" i="22"/>
  <c r="C9" i="19"/>
  <c r="B7" i="18"/>
  <c r="H13" i="19"/>
  <c r="B10" i="18"/>
  <c r="C3" i="21"/>
  <c r="E7" i="16"/>
  <c r="C5" i="22"/>
  <c r="H9" i="22"/>
  <c r="B8" i="18"/>
  <c r="H8" i="21"/>
  <c r="B10" i="21"/>
  <c r="F9" i="20"/>
  <c r="C10" i="19"/>
  <c r="F13" i="17"/>
  <c r="E4" i="17"/>
  <c r="B5" i="21"/>
  <c r="F3" i="18"/>
  <c r="C14" i="21"/>
  <c r="H9" i="21"/>
  <c r="F5" i="19"/>
  <c r="F12" i="21"/>
  <c r="H5" i="18"/>
  <c r="C10" i="20"/>
  <c r="C6" i="19"/>
  <c r="C12" i="19"/>
  <c r="E13" i="16"/>
  <c r="B13" i="16"/>
  <c r="H11" i="16"/>
  <c r="H5" i="21"/>
  <c r="B11" i="20"/>
  <c r="H14" i="22"/>
  <c r="C10" i="18"/>
  <c r="H5" i="20"/>
  <c r="H11" i="22"/>
  <c r="C4" i="21"/>
  <c r="F12" i="22"/>
  <c r="E8" i="22"/>
  <c r="F5" i="18"/>
  <c r="E9" i="22"/>
  <c r="C11" i="21"/>
  <c r="E8" i="16"/>
  <c r="B7" i="19"/>
  <c r="H8" i="22"/>
  <c r="C12" i="20"/>
  <c r="C9" i="17"/>
  <c r="E5" i="17"/>
  <c r="B10" i="17"/>
  <c r="H3" i="21"/>
  <c r="B4" i="16"/>
  <c r="B12" i="18"/>
  <c r="C3" i="22"/>
  <c r="H10" i="21"/>
  <c r="H8" i="19"/>
  <c r="F5" i="16"/>
  <c r="B8" i="17"/>
  <c r="H4" i="20"/>
  <c r="H10" i="22"/>
  <c r="E9" i="16"/>
  <c r="E12" i="17"/>
  <c r="H8" i="18"/>
  <c r="F9" i="22"/>
  <c r="C7" i="17"/>
  <c r="B3" i="22"/>
  <c r="H10" i="19"/>
  <c r="E3" i="20"/>
  <c r="C12" i="16"/>
  <c r="B7" i="20"/>
  <c r="C12" i="17"/>
  <c r="B9" i="19"/>
  <c r="C4" i="22"/>
  <c r="B4" i="17"/>
  <c r="H13" i="21"/>
  <c r="H4" i="17"/>
  <c r="E5" i="21"/>
  <c r="H3" i="20"/>
  <c r="C9" i="16"/>
  <c r="E6" i="19"/>
  <c r="C5" i="21"/>
  <c r="F14" i="20"/>
  <c r="H12" i="17"/>
  <c r="H13" i="20"/>
  <c r="H4" i="22"/>
  <c r="E14" i="20"/>
  <c r="B13" i="17"/>
  <c r="E6" i="20"/>
  <c r="H7" i="21"/>
  <c r="C6" i="16"/>
  <c r="B9" i="16"/>
  <c r="B6" i="18"/>
  <c r="C9" i="20"/>
  <c r="E7" i="20"/>
  <c r="F6" i="18"/>
  <c r="H8" i="20"/>
  <c r="C10" i="21"/>
  <c r="B3" i="16"/>
  <c r="C6" i="21"/>
  <c r="E7" i="17"/>
  <c r="H8" i="16"/>
  <c r="C13" i="20"/>
  <c r="E8" i="21"/>
  <c r="F13" i="22"/>
  <c r="F3" i="21"/>
  <c r="C14" i="22"/>
  <c r="F3" i="19"/>
  <c r="F9" i="18"/>
  <c r="E3" i="18"/>
  <c r="E5" i="22"/>
  <c r="E9" i="21"/>
  <c r="F7" i="21"/>
  <c r="B12" i="20"/>
  <c r="H6" i="19"/>
  <c r="E12" i="20"/>
  <c r="F6" i="19"/>
  <c r="C12" i="21"/>
  <c r="E12" i="18"/>
  <c r="E9" i="17"/>
  <c r="B11" i="18"/>
  <c r="C8" i="17"/>
  <c r="E10" i="21"/>
  <c r="C14" i="17"/>
  <c r="C4" i="16"/>
  <c r="B11" i="19"/>
  <c r="H6" i="21"/>
  <c r="B10" i="20"/>
  <c r="F4" i="21"/>
  <c r="C14" i="20"/>
  <c r="E8" i="19"/>
  <c r="C4" i="17"/>
  <c r="C10" i="22"/>
  <c r="H12" i="18"/>
  <c r="E14" i="16"/>
  <c r="E13" i="19"/>
  <c r="F14" i="19"/>
  <c r="F6" i="17"/>
  <c r="E10" i="17"/>
  <c r="F14" i="21"/>
  <c r="F6" i="22"/>
  <c r="C5" i="17"/>
  <c r="H13" i="17"/>
  <c r="B6" i="21"/>
  <c r="B4" i="22"/>
  <c r="E7" i="18"/>
  <c r="F12" i="20"/>
  <c r="F12" i="18"/>
  <c r="F11" i="20"/>
  <c r="H9" i="20"/>
  <c r="C11" i="17"/>
  <c r="C4" i="18"/>
  <c r="B13" i="22"/>
  <c r="E7" i="21"/>
  <c r="B12" i="17"/>
  <c r="E11" i="19"/>
  <c r="H6" i="20"/>
  <c r="H6" i="22"/>
  <c r="F5" i="17"/>
  <c r="C11" i="20"/>
  <c r="E4" i="19"/>
  <c r="B3" i="19"/>
  <c r="B13" i="21"/>
  <c r="B8" i="21"/>
  <c r="C5" i="18"/>
  <c r="F8" i="18"/>
  <c r="C6" i="22"/>
  <c r="E5" i="20"/>
  <c r="E14" i="19"/>
  <c r="B12" i="16"/>
  <c r="F5" i="21"/>
  <c r="E7" i="19"/>
  <c r="E4" i="18"/>
  <c r="H6" i="16"/>
  <c r="H4" i="19"/>
  <c r="H9" i="16"/>
  <c r="F11" i="19"/>
  <c r="B11" i="17"/>
  <c r="F14" i="17"/>
  <c r="B14" i="19"/>
  <c r="C13" i="16"/>
  <c r="E14" i="21"/>
  <c r="E12" i="16"/>
  <c r="F10" i="18"/>
  <c r="C12" i="18"/>
  <c r="F8" i="22"/>
  <c r="F12" i="19"/>
  <c r="B6" i="16"/>
  <c r="E14" i="18"/>
  <c r="H13" i="16"/>
  <c r="H13" i="18"/>
  <c r="E13" i="21"/>
  <c r="E11" i="20"/>
  <c r="H4" i="16"/>
  <c r="C5" i="16"/>
  <c r="B14" i="17"/>
  <c r="C9" i="22"/>
  <c r="H10" i="16"/>
  <c r="H5" i="19"/>
  <c r="F4" i="20"/>
  <c r="F10" i="21"/>
  <c r="H11" i="18"/>
  <c r="B11" i="21"/>
  <c r="H9" i="18"/>
  <c r="F3" i="16"/>
  <c r="E9" i="18"/>
  <c r="C6" i="18"/>
  <c r="F11" i="21"/>
  <c r="H14" i="21"/>
  <c r="C14" i="19"/>
  <c r="C13" i="18"/>
  <c r="E10" i="18"/>
  <c r="F13" i="18"/>
  <c r="H12" i="22"/>
  <c r="F10" i="20"/>
  <c r="C3" i="19"/>
  <c r="C8" i="16"/>
  <c r="F10" i="22"/>
  <c r="E8" i="18"/>
  <c r="B3" i="21"/>
  <c r="H12" i="21"/>
  <c r="F4" i="16"/>
  <c r="E8" i="17"/>
  <c r="B12" i="22"/>
  <c r="E14" i="17"/>
  <c r="H7" i="16"/>
  <c r="F5" i="22"/>
  <c r="H4" i="21"/>
  <c r="E5" i="16"/>
  <c r="C4" i="19"/>
  <c r="C6" i="20"/>
  <c r="F7" i="16"/>
  <c r="E6" i="22"/>
  <c r="C6" i="17"/>
  <c r="B10" i="22"/>
  <c r="C14" i="16"/>
  <c r="E10" i="20"/>
  <c r="E12" i="22"/>
  <c r="E12" i="21"/>
  <c r="B9" i="22"/>
  <c r="F4" i="19"/>
  <c r="F14" i="18"/>
  <c r="C14" i="18"/>
  <c r="F13" i="19"/>
  <c r="B11" i="22"/>
  <c r="H12" i="20"/>
  <c r="H6" i="17"/>
  <c r="B4" i="20"/>
  <c r="E6" i="16"/>
  <c r="E6" i="17"/>
  <c r="E11" i="16"/>
  <c r="E8" i="20"/>
  <c r="B4" i="21"/>
  <c r="F8" i="21"/>
  <c r="B5" i="19"/>
  <c r="C7" i="16"/>
  <c r="B8" i="22"/>
  <c r="E7" i="22"/>
  <c r="C12" i="22"/>
  <c r="F7" i="17"/>
  <c r="H10" i="17"/>
  <c r="C8" i="22"/>
  <c r="H3" i="19"/>
  <c r="B6" i="20"/>
  <c r="C3" i="20"/>
  <c r="C7" i="22"/>
  <c r="H5" i="22"/>
  <c r="F4" i="22"/>
  <c r="C9" i="18"/>
  <c r="H5" i="17"/>
  <c r="H13" i="22"/>
  <c r="F13" i="20"/>
  <c r="H3" i="17"/>
  <c r="C8" i="20"/>
  <c r="E9" i="20"/>
  <c r="F13" i="21"/>
  <c r="H8" i="17"/>
  <c r="C7" i="20"/>
  <c r="B13" i="20"/>
  <c r="E11" i="22"/>
  <c r="B6" i="17"/>
  <c r="F11" i="17"/>
  <c r="B7" i="16"/>
  <c r="C5" i="20"/>
  <c r="B11" i="16"/>
  <c r="B5" i="18"/>
  <c r="B14" i="16"/>
  <c r="F14" i="16"/>
  <c r="E13" i="20"/>
  <c r="E10" i="16"/>
  <c r="F7" i="18"/>
  <c r="C13" i="17"/>
  <c r="E5" i="19"/>
  <c r="C10" i="16"/>
  <c r="E12" i="19"/>
  <c r="F9" i="16"/>
  <c r="E4" i="16"/>
  <c r="B4" i="19"/>
  <c r="F7" i="20"/>
  <c r="B8" i="19"/>
  <c r="E6" i="18"/>
  <c r="B9" i="20"/>
  <c r="F8" i="16"/>
  <c r="B3" i="18"/>
  <c r="E10" i="19"/>
  <c r="E13" i="22"/>
  <c r="F10" i="17"/>
  <c r="F10" i="16"/>
  <c r="F6" i="20"/>
  <c r="C3" i="16"/>
  <c r="C11" i="16"/>
  <c r="F10" i="19"/>
  <c r="E11" i="17"/>
  <c r="C3" i="17"/>
  <c r="H3" i="16"/>
  <c r="E13" i="17"/>
  <c r="H14" i="17"/>
  <c r="H7" i="18"/>
  <c r="H11" i="21"/>
  <c r="B8" i="20"/>
  <c r="B5" i="20"/>
  <c r="H14" i="18"/>
  <c r="C13" i="22"/>
  <c r="E3" i="21"/>
  <c r="H11" i="19"/>
  <c r="B10" i="19"/>
  <c r="C9" i="21"/>
  <c r="F7" i="19"/>
  <c r="F7" i="22"/>
  <c r="B7" i="21"/>
  <c r="F4" i="18"/>
  <c r="C11" i="18"/>
  <c r="B5" i="22"/>
  <c r="F9" i="19"/>
  <c r="F8" i="19"/>
  <c r="C7" i="21"/>
  <c r="H9" i="19"/>
  <c r="E13" i="18"/>
  <c r="B3" i="20"/>
  <c r="C13" i="19"/>
  <c r="H7" i="17"/>
  <c r="H10" i="20"/>
  <c r="E4" i="21"/>
  <c r="E3" i="16"/>
  <c r="B7" i="17"/>
  <c r="B14" i="21"/>
  <c r="B3" i="17"/>
  <c r="B7" i="22"/>
  <c r="E9" i="19"/>
  <c r="F12" i="16"/>
  <c r="C7" i="18"/>
  <c r="B14" i="20"/>
  <c r="F9" i="21"/>
  <c r="E5" i="18"/>
  <c r="C8" i="18"/>
  <c r="B10" i="16"/>
  <c r="H14" i="19"/>
  <c r="B13" i="19"/>
  <c r="B6" i="19"/>
  <c r="E3" i="19"/>
  <c r="C8" i="21"/>
  <c r="B9" i="17"/>
  <c r="H12" i="19"/>
  <c r="F4" i="17"/>
  <c r="B12" i="21"/>
  <c r="C3" i="18"/>
  <c r="F8" i="20"/>
  <c r="C4" i="20"/>
  <c r="H14" i="20"/>
  <c r="E11" i="18"/>
  <c r="B5" i="16"/>
  <c r="H14" i="16"/>
  <c r="B4" i="18"/>
  <c r="H12" i="16"/>
  <c r="B9" i="18"/>
  <c r="E10" i="22"/>
  <c r="F3" i="20"/>
  <c r="H3" i="18"/>
  <c r="B13" i="18"/>
  <c r="B9" i="21"/>
  <c r="F5" i="20"/>
  <c r="B12" i="19"/>
  <c r="B6" i="22"/>
  <c r="B14" i="18"/>
  <c r="F13" i="16"/>
  <c r="E14" i="22"/>
  <c r="H7" i="20"/>
  <c r="H5" i="16"/>
  <c r="C7" i="19"/>
  <c r="C8" i="19"/>
  <c r="F8" i="17"/>
  <c r="F11" i="18"/>
  <c r="H9" i="17"/>
  <c r="C11" i="19"/>
  <c r="F11" i="16"/>
  <c r="F11" i="22"/>
  <c r="C11" i="22"/>
  <c r="E3" i="22"/>
  <c r="F12" i="17"/>
  <c r="E3" i="17"/>
  <c r="G3" i="16" l="1"/>
  <c r="G16" i="16" s="1"/>
  <c r="E16" i="16"/>
  <c r="G12" i="22"/>
  <c r="G8" i="19"/>
  <c r="H16" i="16"/>
  <c r="G6" i="18"/>
  <c r="G6" i="21"/>
  <c r="D5" i="18"/>
  <c r="G11" i="21"/>
  <c r="D8" i="18"/>
  <c r="G11" i="18"/>
  <c r="G4" i="19"/>
  <c r="G5" i="18"/>
  <c r="D8" i="21"/>
  <c r="D9" i="20"/>
  <c r="G13" i="21"/>
  <c r="G6" i="22"/>
  <c r="H16" i="17"/>
  <c r="H16" i="20"/>
  <c r="G6" i="17"/>
  <c r="D14" i="21"/>
  <c r="C16" i="20"/>
  <c r="D6" i="20"/>
  <c r="G12" i="20"/>
  <c r="G7" i="20"/>
  <c r="D13" i="16"/>
  <c r="G6" i="16"/>
  <c r="D14" i="16"/>
  <c r="G11" i="20"/>
  <c r="G8" i="16"/>
  <c r="G3" i="20"/>
  <c r="G16" i="20" s="1"/>
  <c r="E16" i="20"/>
  <c r="D3" i="20"/>
  <c r="D16" i="20" s="1"/>
  <c r="B16" i="20"/>
  <c r="G6" i="20"/>
  <c r="G8" i="22"/>
  <c r="G9" i="17"/>
  <c r="E16" i="19"/>
  <c r="G3" i="19"/>
  <c r="G16" i="19" s="1"/>
  <c r="D13" i="18"/>
  <c r="G4" i="18"/>
  <c r="G14" i="21"/>
  <c r="D7" i="21"/>
  <c r="D6" i="16"/>
  <c r="D12" i="21"/>
  <c r="H16" i="18"/>
  <c r="D11" i="17"/>
  <c r="D4" i="18"/>
  <c r="D7" i="22"/>
  <c r="G7" i="19"/>
  <c r="G12" i="18"/>
  <c r="G11" i="22"/>
  <c r="D11" i="16"/>
  <c r="C16" i="21"/>
  <c r="D4" i="19"/>
  <c r="H16" i="21"/>
  <c r="G14" i="16"/>
  <c r="G14" i="19"/>
  <c r="D4" i="21"/>
  <c r="G10" i="21"/>
  <c r="G11" i="19"/>
  <c r="D10" i="22"/>
  <c r="G9" i="21"/>
  <c r="F16" i="17"/>
  <c r="D13" i="21"/>
  <c r="G9" i="19"/>
  <c r="G5" i="22"/>
  <c r="D5" i="20"/>
  <c r="D12" i="20"/>
  <c r="C16" i="19"/>
  <c r="F16" i="16"/>
  <c r="G14" i="17"/>
  <c r="D7" i="20"/>
  <c r="G5" i="19"/>
  <c r="G8" i="17"/>
  <c r="D14" i="17"/>
  <c r="D4" i="16"/>
  <c r="D13" i="19"/>
  <c r="G8" i="21"/>
  <c r="D7" i="16"/>
  <c r="D10" i="18"/>
  <c r="D4" i="22"/>
  <c r="D4" i="20"/>
  <c r="D11" i="18"/>
  <c r="C16" i="22"/>
  <c r="D7" i="18"/>
  <c r="D10" i="21"/>
  <c r="G12" i="17"/>
  <c r="G5" i="17"/>
  <c r="G13" i="19"/>
  <c r="D6" i="18"/>
  <c r="G14" i="20"/>
  <c r="G9" i="22"/>
  <c r="G7" i="18"/>
  <c r="D13" i="22"/>
  <c r="D13" i="17"/>
  <c r="G7" i="22"/>
  <c r="D3" i="21"/>
  <c r="D16" i="21" s="1"/>
  <c r="B16" i="21"/>
  <c r="D6" i="21"/>
  <c r="D3" i="19"/>
  <c r="D16" i="19" s="1"/>
  <c r="B16" i="19"/>
  <c r="D9" i="19"/>
  <c r="D9" i="18"/>
  <c r="F16" i="18"/>
  <c r="D9" i="22"/>
  <c r="D7" i="19"/>
  <c r="D11" i="22"/>
  <c r="D10" i="16"/>
  <c r="G12" i="19"/>
  <c r="F16" i="22"/>
  <c r="G13" i="18"/>
  <c r="B16" i="22"/>
  <c r="D3" i="22"/>
  <c r="D16" i="22" s="1"/>
  <c r="B16" i="16"/>
  <c r="D3" i="16"/>
  <c r="D16" i="16" s="1"/>
  <c r="G5" i="20"/>
  <c r="D12" i="18"/>
  <c r="G13" i="17"/>
  <c r="D8" i="20"/>
  <c r="D5" i="21"/>
  <c r="G13" i="16"/>
  <c r="G14" i="22"/>
  <c r="E16" i="18"/>
  <c r="G3" i="18"/>
  <c r="G16" i="18" s="1"/>
  <c r="D7" i="17"/>
  <c r="B16" i="17"/>
  <c r="D3" i="17"/>
  <c r="D16" i="17" s="1"/>
  <c r="G12" i="21"/>
  <c r="G5" i="16"/>
  <c r="G4" i="22"/>
  <c r="D8" i="22"/>
  <c r="D10" i="20"/>
  <c r="D6" i="17"/>
  <c r="G7" i="17"/>
  <c r="D9" i="17"/>
  <c r="G9" i="18"/>
  <c r="G11" i="17"/>
  <c r="D11" i="19"/>
  <c r="F16" i="19"/>
  <c r="G10" i="19"/>
  <c r="F16" i="20"/>
  <c r="H16" i="22"/>
  <c r="E16" i="17"/>
  <c r="G3" i="17"/>
  <c r="G16" i="17" s="1"/>
  <c r="G13" i="22"/>
  <c r="D14" i="19"/>
  <c r="G14" i="18"/>
  <c r="D14" i="18"/>
  <c r="D6" i="22"/>
  <c r="D8" i="17"/>
  <c r="G10" i="16"/>
  <c r="D5" i="22"/>
  <c r="D10" i="17"/>
  <c r="G5" i="21"/>
  <c r="D5" i="19"/>
  <c r="D8" i="19"/>
  <c r="G7" i="16"/>
  <c r="G4" i="16"/>
  <c r="D14" i="20"/>
  <c r="G10" i="18"/>
  <c r="D12" i="22"/>
  <c r="G3" i="22"/>
  <c r="G16" i="22" s="1"/>
  <c r="E16" i="22"/>
  <c r="D12" i="19"/>
  <c r="G10" i="22"/>
  <c r="G9" i="16"/>
  <c r="G9" i="20"/>
  <c r="D14" i="22"/>
  <c r="G8" i="20"/>
  <c r="D12" i="17"/>
  <c r="B16" i="18"/>
  <c r="D3" i="18"/>
  <c r="D16" i="18" s="1"/>
  <c r="G4" i="17"/>
  <c r="D5" i="16"/>
  <c r="G6" i="19"/>
  <c r="G4" i="21"/>
  <c r="G12" i="16"/>
  <c r="D6" i="19"/>
  <c r="G11" i="16"/>
  <c r="G7" i="21"/>
  <c r="G10" i="20"/>
  <c r="C16" i="18"/>
  <c r="D10" i="19"/>
  <c r="D8" i="16"/>
  <c r="D11" i="20"/>
  <c r="F16" i="21"/>
  <c r="G8" i="18"/>
  <c r="C16" i="17"/>
  <c r="D13" i="20"/>
  <c r="D9" i="16"/>
  <c r="D12" i="16"/>
  <c r="G3" i="21"/>
  <c r="G16" i="21" s="1"/>
  <c r="E16" i="21"/>
  <c r="G4" i="20"/>
  <c r="C16" i="16"/>
  <c r="G10" i="17"/>
  <c r="D9" i="21"/>
  <c r="D4" i="17"/>
  <c r="D11" i="21"/>
  <c r="D5" i="17"/>
  <c r="G13" i="20"/>
  <c r="H16" i="19"/>
</calcChain>
</file>

<file path=xl/sharedStrings.xml><?xml version="1.0" encoding="utf-8"?>
<sst xmlns="http://schemas.openxmlformats.org/spreadsheetml/2006/main" count="6127" uniqueCount="1301">
  <si>
    <t>Format</t>
  </si>
  <si>
    <t>Title</t>
  </si>
  <si>
    <t>Year</t>
  </si>
  <si>
    <t>Writing Solid Code</t>
  </si>
  <si>
    <t>Digital</t>
  </si>
  <si>
    <t>2016-05-28</t>
  </si>
  <si>
    <t>Git Essentials</t>
  </si>
  <si>
    <t>2016-06-05</t>
  </si>
  <si>
    <t>Comment</t>
  </si>
  <si>
    <t>Medium usefulness.</t>
  </si>
  <si>
    <t>Clean Code - A Handbook of Agile Software Craftsmanship</t>
  </si>
  <si>
    <t>2016-06-12</t>
  </si>
  <si>
    <t>2016-06-22</t>
  </si>
  <si>
    <t>Introducing Github</t>
  </si>
  <si>
    <t>GitHub Essentials</t>
  </si>
  <si>
    <t>Git for Teams</t>
  </si>
  <si>
    <t>2016-06-26</t>
  </si>
  <si>
    <t>Git Pocket Guide</t>
  </si>
  <si>
    <t>2016-06-28</t>
  </si>
  <si>
    <t>24 Patterns of Clean Code</t>
  </si>
  <si>
    <t>Type</t>
  </si>
  <si>
    <t>Book</t>
  </si>
  <si>
    <t>Effective Unit Testing</t>
  </si>
  <si>
    <t>Article</t>
  </si>
  <si>
    <t>Paper</t>
  </si>
  <si>
    <t>Unit Testing Using Nunit</t>
  </si>
  <si>
    <t>2016-07-01</t>
  </si>
  <si>
    <t>Very concise and good to get started with Nunit.</t>
  </si>
  <si>
    <t>Practical Powershell Unit-Testing: Getting Started</t>
  </si>
  <si>
    <t>2016-06-20</t>
  </si>
  <si>
    <t>Why TDD for Powershell? Or why Pester? Or why unit test a "scripting" language?</t>
  </si>
  <si>
    <t>Get Started with Pester (Powershell unit testing framework)</t>
  </si>
  <si>
    <t>Testing your PowerShell scripts with Pester: Assertions and more</t>
  </si>
  <si>
    <t>Smalltalk Best Practice Patterns</t>
  </si>
  <si>
    <t>2016-07-06</t>
  </si>
  <si>
    <t>Creating a Database Connection Class</t>
  </si>
  <si>
    <t>Good primer, but coded very poorly.</t>
  </si>
  <si>
    <t>Write Your Own Database Access Class in C#</t>
  </si>
  <si>
    <t xml:space="preserve">Some good inputs. </t>
  </si>
  <si>
    <t>Working with SQL Server Database using C#</t>
  </si>
  <si>
    <t>Not useful.</t>
  </si>
  <si>
    <t>Connecting to SQL Server Database using C#</t>
  </si>
  <si>
    <t>Connection string scheme.</t>
  </si>
  <si>
    <t>Basics of creating and using classes in C#</t>
  </si>
  <si>
    <t>2016-07-08</t>
  </si>
  <si>
    <t xml:space="preserve">Brilliantly explained, top notch article. </t>
  </si>
  <si>
    <t>Using Constructors (C# Programming Guide)</t>
  </si>
  <si>
    <t>Instance Constructors (C# Programming Guide)</t>
  </si>
  <si>
    <t>An intro to Constructors in C#</t>
  </si>
  <si>
    <t>Constructors in C#</t>
  </si>
  <si>
    <t>-</t>
  </si>
  <si>
    <t>Get Started with Azure Table storage using .NET</t>
  </si>
  <si>
    <t>2016-07-18</t>
  </si>
  <si>
    <t>High usefulness, very well explained.</t>
  </si>
  <si>
    <t xml:space="preserve">Useful. </t>
  </si>
  <si>
    <t>What is app.config in C# .NET? How to use it?</t>
  </si>
  <si>
    <t>ConfigurationManager.AppSettings Property</t>
  </si>
  <si>
    <t>2016-07-10</t>
  </si>
  <si>
    <t>Useful.</t>
  </si>
  <si>
    <t>Using Nunit with Visual Studio 2012 Unit Test Projects</t>
  </si>
  <si>
    <t>Useless.</t>
  </si>
  <si>
    <t>2016-07-25</t>
  </si>
  <si>
    <t>Microsoft Visual C# 2013 Step by Step</t>
  </si>
  <si>
    <t>Framework Design Guidelines</t>
  </si>
  <si>
    <t>2016-07-28</t>
  </si>
  <si>
    <t>Introducing Microsoft SQL Server 2014 - Chapter 5: Introducing PowerBI for Office 365</t>
  </si>
  <si>
    <t>The DIY Guide To Dazzling Data</t>
  </si>
  <si>
    <t>2016-05-22</t>
  </si>
  <si>
    <t>Anything useful.</t>
  </si>
  <si>
    <t>Just a small brochure.</t>
  </si>
  <si>
    <t xml:space="preserve">Design Patterns Explained Simply </t>
  </si>
  <si>
    <t>2016-08-03</t>
  </si>
  <si>
    <t>Good overview.</t>
  </si>
  <si>
    <t>Test Driven Development By Example</t>
  </si>
  <si>
    <t>2016-08-04</t>
  </si>
  <si>
    <t>2016-09-02</t>
  </si>
  <si>
    <t>Nunit With C#</t>
  </si>
  <si>
    <t>Unit Test Automation With Visual Studio</t>
  </si>
  <si>
    <t>2016-09-03</t>
  </si>
  <si>
    <t>Inheritance in C#</t>
  </si>
  <si>
    <t>It clarifies some aspects.</t>
  </si>
  <si>
    <t>Add An Entity To A Table etc.</t>
  </si>
  <si>
    <t>Firebug 1.5 Editing, Debugging, and Monitoring Web Pages</t>
  </si>
  <si>
    <t>2016-09-22</t>
  </si>
  <si>
    <t>UML, Abstract Classes and Methods, and Interfaces</t>
  </si>
  <si>
    <t>Notazione Standard UML</t>
  </si>
  <si>
    <t>Powerpoint</t>
  </si>
  <si>
    <t>2016-09-26</t>
  </si>
  <si>
    <t>Lo Standard UML</t>
  </si>
  <si>
    <t>Applying UML, Advanced Applications</t>
  </si>
  <si>
    <t>Various Articles About Dependency Injection In C#</t>
  </si>
  <si>
    <t>2016-10-01</t>
  </si>
  <si>
    <t>Quite useful.</t>
  </si>
  <si>
    <t>Inversion of Control, Containers and the Dependency Injection pattern</t>
  </si>
  <si>
    <t>2016-10-16</t>
  </si>
  <si>
    <t>Execution in the Kingdom of Nouns</t>
  </si>
  <si>
    <t>Useless rant.</t>
  </si>
  <si>
    <t>XPath And Xpointer</t>
  </si>
  <si>
    <t>2016-10-17</t>
  </si>
  <si>
    <t>2016-10-18</t>
  </si>
  <si>
    <t>How to be a Programmer (Community Version)</t>
  </si>
  <si>
    <t>C# Database Basics</t>
  </si>
  <si>
    <t>2016-11-03</t>
  </si>
  <si>
    <t xml:space="preserve">Beginning C# 2008 Databases From Novice to Professional </t>
  </si>
  <si>
    <t>2016-11-04</t>
  </si>
  <si>
    <t>Pro .NET Best Practices</t>
  </si>
  <si>
    <t>2016-11-08</t>
  </si>
  <si>
    <t>Data Structures and Algorithms Using Csharp</t>
  </si>
  <si>
    <t>2016-11-15</t>
  </si>
  <si>
    <t>Machine Learning Using CSharp Succinctly</t>
  </si>
  <si>
    <t>2016-11-19</t>
  </si>
  <si>
    <t>Various articles about Git Branching in Sitecore</t>
  </si>
  <si>
    <t>Centralized Workflow</t>
  </si>
  <si>
    <t>2016-11-20</t>
  </si>
  <si>
    <t>Continuous Delivery Workflows With The Branch-per-Issue Model</t>
  </si>
  <si>
    <t>2016-11-21</t>
  </si>
  <si>
    <t>XPath Essentials</t>
  </si>
  <si>
    <t>Various articles about Data Warehouses</t>
  </si>
  <si>
    <t>Working Effectively with Legacy Code</t>
  </si>
  <si>
    <t>2016-11-23</t>
  </si>
  <si>
    <t>Design Patterns: Elements of Reusable Object-Oriented Software</t>
  </si>
  <si>
    <t>2016-11-27</t>
  </si>
  <si>
    <t>MCSD Certification Toolkit (Exam 70-483) Programming in C#</t>
  </si>
  <si>
    <t>2016-11-30</t>
  </si>
  <si>
    <t>Why programmers work at night</t>
  </si>
  <si>
    <t>What I've Learned From Failure</t>
  </si>
  <si>
    <t>2016-12-02</t>
  </si>
  <si>
    <t>97 Things Every Programmer Should Know</t>
  </si>
  <si>
    <t>2016-12-01</t>
  </si>
  <si>
    <t>.NET Technology Guide for Business Applications</t>
  </si>
  <si>
    <t>2016-12-05</t>
  </si>
  <si>
    <t>The Pragmatic Programmer, From Journeyman To Master</t>
  </si>
  <si>
    <t>2016-12-09</t>
  </si>
  <si>
    <t>Various Articles About Primary Keys - Part A</t>
  </si>
  <si>
    <t>2016-12-11</t>
  </si>
  <si>
    <t>Producing Open Source Software</t>
  </si>
  <si>
    <t>2016-12-20</t>
  </si>
  <si>
    <t>Hacknot Essays on Software Development</t>
  </si>
  <si>
    <t>2016-12-21</t>
  </si>
  <si>
    <t>Extreme Programming Explained</t>
  </si>
  <si>
    <t>Don't Just Roll The Dice</t>
  </si>
  <si>
    <t>Various Articles About Primary Keys - Part B</t>
  </si>
  <si>
    <t>2016-12-29</t>
  </si>
  <si>
    <t>Diagramma delle classi: aggregazione e composizione</t>
  </si>
  <si>
    <t>2016-12-24</t>
  </si>
  <si>
    <t>Ambient Computing</t>
  </si>
  <si>
    <t>2017-01-16</t>
  </si>
  <si>
    <t>Analyzing Data in the Internet of Things</t>
  </si>
  <si>
    <t>Creating Functional Teams For IoT</t>
  </si>
  <si>
    <t>Object-Oriented vs. Functional Programming</t>
  </si>
  <si>
    <t>Dependency Injection in .NET</t>
  </si>
  <si>
    <t>2017-01-25</t>
  </si>
  <si>
    <t>Yes</t>
  </si>
  <si>
    <t>No</t>
  </si>
  <si>
    <t>Beginning TSQL With Microsoft SQL Server 2005 And 2008</t>
  </si>
  <si>
    <t>2017-01-26</t>
  </si>
  <si>
    <t>2017-01-27</t>
  </si>
  <si>
    <t>CSharp 5.0 In A Nutshell (5th Edition)</t>
  </si>
  <si>
    <t>C# 6.0 Cookbook</t>
  </si>
  <si>
    <t>Implementing Domain-Driven Design with Csharp</t>
  </si>
  <si>
    <t>2017-02-02</t>
  </si>
  <si>
    <t>Very poor quality slides.</t>
  </si>
  <si>
    <t>Various articles about composition and design patterns</t>
  </si>
  <si>
    <t>A couple of these are very well written, finally somebody who knows how to explain.</t>
  </si>
  <si>
    <t>2017-02-05</t>
  </si>
  <si>
    <t>What You Need to Know about Machine Learning</t>
  </si>
  <si>
    <t>2017-03-13</t>
  </si>
  <si>
    <t>Various articles about abstract factories and design patterns in C#</t>
  </si>
  <si>
    <t>Concise and valid explaination of the Adapter design pattern.</t>
  </si>
  <si>
    <t>C# Bad Practices (Parts 1,2,3)</t>
  </si>
  <si>
    <t>2017-03-12</t>
  </si>
  <si>
    <t>Eric Lippert's articles aboud Aynchrony in C#</t>
  </si>
  <si>
    <t>Various articles about interfaces in C#</t>
  </si>
  <si>
    <t>Head First Design Patterns</t>
  </si>
  <si>
    <t>2017-03-17</t>
  </si>
  <si>
    <t>Learning Object-Oriented Programming</t>
  </si>
  <si>
    <t>2017-03-18</t>
  </si>
  <si>
    <t>Rapid Development</t>
  </si>
  <si>
    <t>Patterns of Enterprise Application Architecture</t>
  </si>
  <si>
    <t>2017-03-20</t>
  </si>
  <si>
    <t>Web Scraping with Python (Community Experience Distilled)</t>
  </si>
  <si>
    <t>C# In Depth</t>
  </si>
  <si>
    <t>2017-03-21</t>
  </si>
  <si>
    <t>2017-03-25</t>
  </si>
  <si>
    <t>Code Simplicity</t>
  </si>
  <si>
    <t>Becoming A Better Programmer</t>
  </si>
  <si>
    <t>CSharp Book 8.2</t>
  </si>
  <si>
    <t>2017-03-26</t>
  </si>
  <si>
    <t>Inside Microsoft SQL Server 2008 T-SQL Querying</t>
  </si>
  <si>
    <t>Daily Design Pattern</t>
  </si>
  <si>
    <t>2017-03-27</t>
  </si>
  <si>
    <t>2017-03-28</t>
  </si>
  <si>
    <t>Learning Docker</t>
  </si>
  <si>
    <t>Various Articles 30.03.2017</t>
  </si>
  <si>
    <t>2017-03-30</t>
  </si>
  <si>
    <t>Windows PowerShell 4.0 For .NET Developers</t>
  </si>
  <si>
    <t>2017-04-13</t>
  </si>
  <si>
    <t>Growing Object-Oriented Software Guided by Tests</t>
  </si>
  <si>
    <t>Refactoring to Patterns 1.13</t>
  </si>
  <si>
    <t>2017-04-17</t>
  </si>
  <si>
    <t>Adaptive Code via C#</t>
  </si>
  <si>
    <t>2017-04-14</t>
  </si>
  <si>
    <t>MarkdownLog-master</t>
  </si>
  <si>
    <t>Code</t>
  </si>
  <si>
    <t>Subsonic-2.0-master</t>
  </si>
  <si>
    <t>[SKIPPED AFTER PAGE 100]</t>
  </si>
  <si>
    <t>UML Weekend Crash Course</t>
  </si>
  <si>
    <t>Various Articles 25-04-2017</t>
  </si>
  <si>
    <t>2017-04-25</t>
  </si>
  <si>
    <t>8th Articles</t>
  </si>
  <si>
    <t>Various Articles About Unit Testing Private Methods</t>
  </si>
  <si>
    <t>2017-04-26</t>
  </si>
  <si>
    <t>2017-04-27</t>
  </si>
  <si>
    <t>Beginning Software Engineering</t>
  </si>
  <si>
    <t>2017-05-02</t>
  </si>
  <si>
    <t>The Mythical Man-Month (Anniversary Edition)</t>
  </si>
  <si>
    <t>2017-04-05</t>
  </si>
  <si>
    <t>2017-04-09</t>
  </si>
  <si>
    <t>2017-05-09</t>
  </si>
  <si>
    <t>2017-05-14</t>
  </si>
  <si>
    <t>Sams Teach Yourself Regular Expressions</t>
  </si>
  <si>
    <t>Regular Expression Cookbook</t>
  </si>
  <si>
    <t>2017-05-16</t>
  </si>
  <si>
    <t>Webbots, Spiders, And Screen Scrapers (2nd Edition)</t>
  </si>
  <si>
    <t>2017-05-18</t>
  </si>
  <si>
    <t>Practical Microsoft Visual Studio 2015</t>
  </si>
  <si>
    <t>2017-05-21</t>
  </si>
  <si>
    <t>C# 7 and .NET Core Cookbook</t>
  </si>
  <si>
    <t>2017-05-23</t>
  </si>
  <si>
    <t>Build APIs You Won't Hate</t>
  </si>
  <si>
    <t>2017-05-28</t>
  </si>
  <si>
    <t>Mastering C# and .NET Framework</t>
  </si>
  <si>
    <t>2017-05-29</t>
  </si>
  <si>
    <t>Algorithms For Dummies</t>
  </si>
  <si>
    <t>2017-06-18</t>
  </si>
  <si>
    <t>AngularJS Essentials</t>
  </si>
  <si>
    <t>2017-06-24</t>
  </si>
  <si>
    <t>Dependency Injection with AngularJS</t>
  </si>
  <si>
    <t xml:space="preserve">The Algorithm Design Manual </t>
  </si>
  <si>
    <t>2017-06-25</t>
  </si>
  <si>
    <t>Various articles about Data Warehousing</t>
  </si>
  <si>
    <t>2017-07-07</t>
  </si>
  <si>
    <t>Some very good explaination about the star scheme and the dimensional modelling.</t>
  </si>
  <si>
    <t>2017-07-14</t>
  </si>
  <si>
    <t>2017-07-16</t>
  </si>
  <si>
    <t>Pro Power BI Desktop</t>
  </si>
  <si>
    <t>2017-07-20</t>
  </si>
  <si>
    <t>Machine Learning For Dummies</t>
  </si>
  <si>
    <t>2017-08-28</t>
  </si>
  <si>
    <t>Machine Learning Projects for .NET Developers</t>
  </si>
  <si>
    <t>2017-09-06</t>
  </si>
  <si>
    <t>Machine Learning for Hackers</t>
  </si>
  <si>
    <t>Programming Collective Intelligence</t>
  </si>
  <si>
    <t>Learn More, Study Less</t>
  </si>
  <si>
    <t>Various articles about Machine Learning</t>
  </si>
  <si>
    <t>Various articles about QA</t>
  </si>
  <si>
    <t>Various articles about triggers</t>
  </si>
  <si>
    <t>2017-10-02</t>
  </si>
  <si>
    <t>2017-09-12</t>
  </si>
  <si>
    <t>Few useful lines.</t>
  </si>
  <si>
    <t>2017-09-26</t>
  </si>
  <si>
    <t>2017-09-15</t>
  </si>
  <si>
    <t>2017-09-25</t>
  </si>
  <si>
    <t>Asynchronous programming in C# using Async Await - Best Practices</t>
  </si>
  <si>
    <t>2017-11-15</t>
  </si>
  <si>
    <t>Various Articles, week 47/2017</t>
  </si>
  <si>
    <t>2017-12-03</t>
  </si>
  <si>
    <t>Various Articles about N-grams in C#</t>
  </si>
  <si>
    <t>2017-12-29</t>
  </si>
  <si>
    <t>The first article is very clear.</t>
  </si>
  <si>
    <t>Various articles about SQLite in C#</t>
  </si>
  <si>
    <t>2017-12-31</t>
  </si>
  <si>
    <t>Various Articles, week 46/2017</t>
  </si>
  <si>
    <t>2017-11-30</t>
  </si>
  <si>
    <t>Various Articles, week 01/2018</t>
  </si>
  <si>
    <t>2018-01-08</t>
  </si>
  <si>
    <t>Various Articles, week 06/2018</t>
  </si>
  <si>
    <t>2018-02-19</t>
  </si>
  <si>
    <t xml:space="preserve">Some articles (for ex. the Result object's one) are very useful. </t>
  </si>
  <si>
    <t>Various Articles, week 08/2018</t>
  </si>
  <si>
    <t>2018-03-06</t>
  </si>
  <si>
    <t>The part about monads is very useful.</t>
  </si>
  <si>
    <t>Build Your Own PaaS with Docker</t>
  </si>
  <si>
    <t>Docker For Developers</t>
  </si>
  <si>
    <t>2018-03-09</t>
  </si>
  <si>
    <t>2018-03-10</t>
  </si>
  <si>
    <t>Dive Deep with Docker</t>
  </si>
  <si>
    <t>2018-03-11</t>
  </si>
  <si>
    <t>Totally useless.</t>
  </si>
  <si>
    <t>Docker for Beginners</t>
  </si>
  <si>
    <t>2018-03-15</t>
  </si>
  <si>
    <t>2018-03-22</t>
  </si>
  <si>
    <t>2018-03-29</t>
  </si>
  <si>
    <t>MariaDB Crash Course</t>
  </si>
  <si>
    <t>MariaDB Cookbook</t>
  </si>
  <si>
    <t>2018-04-01</t>
  </si>
  <si>
    <t>2018-04-02</t>
  </si>
  <si>
    <t>Learning MySQL and MariaDB</t>
  </si>
  <si>
    <t>Orchestrating Docker</t>
  </si>
  <si>
    <t>Hands on Docker</t>
  </si>
  <si>
    <t>2018-04-03</t>
  </si>
  <si>
    <t>Docker Cookbook</t>
  </si>
  <si>
    <t>Pitfalls of C# Generics and their solution using concepts</t>
  </si>
  <si>
    <t>2018-05-07</t>
  </si>
  <si>
    <t>Various Articles, week 31/2018</t>
  </si>
  <si>
    <t>2018-08-09</t>
  </si>
  <si>
    <t>Various Articles, week 11/2018</t>
  </si>
  <si>
    <t>2018-09-26</t>
  </si>
  <si>
    <t xml:space="preserve">Building a Data Warehouse with Examples in SQL Server </t>
  </si>
  <si>
    <t>Data Warehousing For Dummies</t>
  </si>
  <si>
    <t>Exam Ref 70-767 Implementing a SQL Data Warehouse</t>
  </si>
  <si>
    <t>Testing Computer Software (2nd Edition)</t>
  </si>
  <si>
    <t>The Effective Engineer</t>
  </si>
  <si>
    <t>Designing Data Visualizations</t>
  </si>
  <si>
    <t>Learning to Love Data Science</t>
  </si>
  <si>
    <t>Making Big Data Work for Your Business</t>
  </si>
  <si>
    <t>Two styles of database development</t>
  </si>
  <si>
    <t>Usage-Driven Database Design</t>
  </si>
  <si>
    <t>Building Intelligent Systems</t>
  </si>
  <si>
    <t>2018-07-17</t>
  </si>
  <si>
    <t>The Little ASP .NET Core Book</t>
  </si>
  <si>
    <t>2018-07-23</t>
  </si>
  <si>
    <t>2018-07-29</t>
  </si>
  <si>
    <t>Beginning DAX with PowerBi</t>
  </si>
  <si>
    <t>2018-10-08</t>
  </si>
  <si>
    <t>Introducing Microsoft PowerBi</t>
  </si>
  <si>
    <t>Practical Data Science</t>
  </si>
  <si>
    <t>2018-10-21</t>
  </si>
  <si>
    <t>2018-10-22</t>
  </si>
  <si>
    <t>2018-10-23</t>
  </si>
  <si>
    <t>2018-11-08</t>
  </si>
  <si>
    <t>2018-11-09</t>
  </si>
  <si>
    <t>2018-11-11</t>
  </si>
  <si>
    <t>High Performance Techniques for Microsoft SQL Server</t>
  </si>
  <si>
    <t>2018-11-21</t>
  </si>
  <si>
    <t>2018-11-24</t>
  </si>
  <si>
    <t>2018-11-26</t>
  </si>
  <si>
    <t>A successful Git branching model</t>
  </si>
  <si>
    <t>2018-11-27</t>
  </si>
  <si>
    <t>Publisher</t>
  </si>
  <si>
    <t>Microsoft Press</t>
  </si>
  <si>
    <t>Packt</t>
  </si>
  <si>
    <t>Prentice Hall</t>
  </si>
  <si>
    <t>O'Reilly</t>
  </si>
  <si>
    <t>Evermore</t>
  </si>
  <si>
    <t>Manning</t>
  </si>
  <si>
    <t>Addison-Wesley</t>
  </si>
  <si>
    <t>Butterworth-Heinemann</t>
  </si>
  <si>
    <t>Apress</t>
  </si>
  <si>
    <t>Cambridge University Press</t>
  </si>
  <si>
    <t>Syncfusion</t>
  </si>
  <si>
    <t>Wrox</t>
  </si>
  <si>
    <t>Wiley</t>
  </si>
  <si>
    <t>Oxford University Press</t>
  </si>
  <si>
    <t>Morgan Kaufmann</t>
  </si>
  <si>
    <t>Confessions of an IT Manager</t>
  </si>
  <si>
    <t>Sams Publishing</t>
  </si>
  <si>
    <t>Domain Driven Design Quickly</t>
  </si>
  <si>
    <t>Sybex</t>
  </si>
  <si>
    <t>CareerCup</t>
  </si>
  <si>
    <t>Month</t>
  </si>
  <si>
    <t>Total</t>
  </si>
  <si>
    <t>Pragmatic Bookshelf</t>
  </si>
  <si>
    <t>No Starch Press</t>
  </si>
  <si>
    <t>Springer</t>
  </si>
  <si>
    <t>Books</t>
  </si>
  <si>
    <t>Articles</t>
  </si>
  <si>
    <t>Bleeding Edge Press</t>
  </si>
  <si>
    <t>CreateSpace</t>
  </si>
  <si>
    <t>Effective Bookshelf</t>
  </si>
  <si>
    <t>Kogan Page</t>
  </si>
  <si>
    <t>2018-12-03</t>
  </si>
  <si>
    <t>Beginning PowerBi</t>
  </si>
  <si>
    <t>2018-12-04</t>
  </si>
  <si>
    <t>Beginning Big Data with PowerBi and Excel 2013</t>
  </si>
  <si>
    <t>SQL Server 2012 Integration Services Design Patterns</t>
  </si>
  <si>
    <t>2018-12-05</t>
  </si>
  <si>
    <t>Database Systems (2nd Edition)</t>
  </si>
  <si>
    <t>2018-12-09</t>
  </si>
  <si>
    <t>Data Science for Dummies (2nd Edition)</t>
  </si>
  <si>
    <t>Foundations for Architecting Data Solutions</t>
  </si>
  <si>
    <t>2018-12-10</t>
  </si>
  <si>
    <t>Effective SQL: 61 Specific ways to write better SQL</t>
  </si>
  <si>
    <t>2018-12-22</t>
  </si>
  <si>
    <t>Agile Testing: A practical guide for testers and Agile teams</t>
  </si>
  <si>
    <t>2018-12-24</t>
  </si>
  <si>
    <t>Beautiful Testing</t>
  </si>
  <si>
    <t>2018-12-25</t>
  </si>
  <si>
    <t>Algorithms - Notes for Professionals</t>
  </si>
  <si>
    <t>C# Notes for Professionals</t>
  </si>
  <si>
    <t>2018-12-29</t>
  </si>
  <si>
    <t>C# Smorgasbord</t>
  </si>
  <si>
    <t>Principles of Package Design</t>
  </si>
  <si>
    <t>2018-12-30</t>
  </si>
  <si>
    <t>Collect Combine Transform Data using Power Query in Excel and Power Bi</t>
  </si>
  <si>
    <t>2018-12-31</t>
  </si>
  <si>
    <t>Bad Programming Practices 101</t>
  </si>
  <si>
    <t>2018-06-28</t>
  </si>
  <si>
    <t>Think Like A Data Scientist</t>
  </si>
  <si>
    <t>Infrastructure As Code</t>
  </si>
  <si>
    <t>Microsoft PowerBi Dashboards Step-by-Step</t>
  </si>
  <si>
    <t>PowerBi Data Analysis And Visualization</t>
  </si>
  <si>
    <t>Pro PowerBI Architecture</t>
  </si>
  <si>
    <t>PowerBi From Rookie To Rockstar</t>
  </si>
  <si>
    <t>Optimizing Data-To-Learning-To-Action</t>
  </si>
  <si>
    <t>Microsoft SQL Server 2012 Integration Services</t>
  </si>
  <si>
    <t>Visual Studio 2017 Succintly</t>
  </si>
  <si>
    <t>SQL Server For C# Developers</t>
  </si>
  <si>
    <t>Visual Studio 2015 Succintly</t>
  </si>
  <si>
    <t>SQL By Example</t>
  </si>
  <si>
    <t>SSIS Succintly</t>
  </si>
  <si>
    <t>PowerBi Succintly</t>
  </si>
  <si>
    <t>The Modern C# Challenge</t>
  </si>
  <si>
    <t>Customer Success For C# Developers Succintly</t>
  </si>
  <si>
    <t>Data Professionals At Work</t>
  </si>
  <si>
    <t>Exam Ref 70-768 Developing SQL Data Models</t>
  </si>
  <si>
    <t>BI Solutions Using SSIS Tabular Model Succintly</t>
  </si>
  <si>
    <t>Data Capture And Extraction with C# Succintly</t>
  </si>
  <si>
    <t>2019-01-14</t>
  </si>
  <si>
    <t>2019-01-27</t>
  </si>
  <si>
    <t>2019-01-31</t>
  </si>
  <si>
    <t>Pearson Education</t>
  </si>
  <si>
    <t>DEG Press</t>
  </si>
  <si>
    <t>2019-02-05</t>
  </si>
  <si>
    <t>2019-02-06</t>
  </si>
  <si>
    <t>2019-02-11</t>
  </si>
  <si>
    <t>2019-02-19</t>
  </si>
  <si>
    <t>2019-02-20</t>
  </si>
  <si>
    <t>2019-02-25</t>
  </si>
  <si>
    <t>Momentum Press</t>
  </si>
  <si>
    <t>2019-02-26</t>
  </si>
  <si>
    <t>2019-03-02</t>
  </si>
  <si>
    <t>Roslyn Succintly</t>
  </si>
  <si>
    <t>2019-03-03</t>
  </si>
  <si>
    <t>Data Structures Succintly Part 1</t>
  </si>
  <si>
    <t>Facts and Fallacies of Software Engineering</t>
  </si>
  <si>
    <t>2019-03-05</t>
  </si>
  <si>
    <t>2019-03-06</t>
  </si>
  <si>
    <t>Data Science</t>
  </si>
  <si>
    <t>Power Bi</t>
  </si>
  <si>
    <t>Business Intelligence</t>
  </si>
  <si>
    <t>C#</t>
  </si>
  <si>
    <t>Software Engineering</t>
  </si>
  <si>
    <t>Topic</t>
  </si>
  <si>
    <t>SQL Server</t>
  </si>
  <si>
    <t>Git</t>
  </si>
  <si>
    <t>Unit Testing</t>
  </si>
  <si>
    <t>Machine Learning</t>
  </si>
  <si>
    <t>Continuous Delivery</t>
  </si>
  <si>
    <t>Various</t>
  </si>
  <si>
    <t>Various Articles About the Law of Demeter</t>
  </si>
  <si>
    <t>Pages</t>
  </si>
  <si>
    <t>Powershell</t>
  </si>
  <si>
    <t>QA</t>
  </si>
  <si>
    <t>SQLite</t>
  </si>
  <si>
    <t>OWIN Succintly</t>
  </si>
  <si>
    <t>SQL On Azure</t>
  </si>
  <si>
    <t>SQL Services Analysis Services</t>
  </si>
  <si>
    <t>2019-03-10</t>
  </si>
  <si>
    <t>Visual Studio Add-Ins</t>
  </si>
  <si>
    <t>Visual Studio Code Succintly</t>
  </si>
  <si>
    <t>Visual Studio Code Distilled</t>
  </si>
  <si>
    <t>Machine Learning: The Art And Science of Algorithms That Make Sense of Data</t>
  </si>
  <si>
    <t>2019-03-11</t>
  </si>
  <si>
    <t>Machine Learning: Hands-on For Developers and Technical Professionals</t>
  </si>
  <si>
    <t>Bad Choices</t>
  </si>
  <si>
    <t>2019-03-12</t>
  </si>
  <si>
    <t>Penguin Random House</t>
  </si>
  <si>
    <t>Perspectives on Data Science for Software Engineering</t>
  </si>
  <si>
    <t>Ubuntu Server Succintly</t>
  </si>
  <si>
    <t>Linux</t>
  </si>
  <si>
    <t>Various Articles, Week 12/2019 (ML .NET)</t>
  </si>
  <si>
    <t>2019-03-18</t>
  </si>
  <si>
    <t>2019-03-25</t>
  </si>
  <si>
    <t>Asynchronous Programming Succintly</t>
  </si>
  <si>
    <t>Entity Framework Code First Succintly</t>
  </si>
  <si>
    <t>2019-03-27</t>
  </si>
  <si>
    <t>Ok batch of articles.</t>
  </si>
  <si>
    <t>Microservices in .NET Core</t>
  </si>
  <si>
    <t>2019-07-24</t>
  </si>
  <si>
    <t>The Absolutely Awesome Book on C# and .NET (sample chapters)</t>
  </si>
  <si>
    <t>2019-07-29</t>
  </si>
  <si>
    <t>Dot Net Curry</t>
  </si>
  <si>
    <t>LINQ Succintly</t>
  </si>
  <si>
    <t>2019-08-19</t>
  </si>
  <si>
    <t>C# For Artists</t>
  </si>
  <si>
    <t>2019-08-31</t>
  </si>
  <si>
    <t>PulpFree Press</t>
  </si>
  <si>
    <t>Software Architect Handbook</t>
  </si>
  <si>
    <t>2019-09-20</t>
  </si>
  <si>
    <t>C# Design Patterns - Fluent Builder Interface with Recursive Generics</t>
  </si>
  <si>
    <t>Create a builder with fluent API in C#</t>
  </si>
  <si>
    <t>A fluent builder in C#</t>
  </si>
  <si>
    <t>Test Data Builder: an alternative to Object Mother pattern</t>
  </si>
  <si>
    <t>AutoFixture - Make your unit tests robust</t>
  </si>
  <si>
    <t>Populating data for tests</t>
  </si>
  <si>
    <t>2019-10-11</t>
  </si>
  <si>
    <t>Short, example-less and useless.</t>
  </si>
  <si>
    <t>Very useful.</t>
  </si>
  <si>
    <t>Making Wrong Code Look Wrong</t>
  </si>
  <si>
    <t>How-to validate a method's arguments</t>
  </si>
  <si>
    <t>A fluent approach to C# parameter validation</t>
  </si>
  <si>
    <t>Fluent code in C#</t>
  </si>
  <si>
    <t>2019-11-20</t>
  </si>
  <si>
    <t>C# Extension Methods and Fluent Interfaces</t>
  </si>
  <si>
    <t>C# Fluent Interfaces for Unit Testing</t>
  </si>
  <si>
    <t>How-to design and implement the Fluent Interface pattern in C#</t>
  </si>
  <si>
    <t>Buggy C# code: the 10 most common mistakes in C# programming</t>
  </si>
  <si>
    <t>Exceptions for flow contron in C#</t>
  </si>
  <si>
    <t>2019-11-21</t>
  </si>
  <si>
    <t>What great .NET developers ought to know</t>
  </si>
  <si>
    <t>Writing ArchUnit style tests for .NET and C# to enforce architecture rules</t>
  </si>
  <si>
    <t>C# namespace and class naming convention for libraries</t>
  </si>
  <si>
    <t>The seven sins against TSQL performance</t>
  </si>
  <si>
    <t>2019-11-22</t>
  </si>
  <si>
    <t>Size does matter: 10 ways to reduce the database size...</t>
  </si>
  <si>
    <t>Ok.</t>
  </si>
  <si>
    <t>23 Rules for faster SQL queries</t>
  </si>
  <si>
    <t>Why, when and how to rebuild and re-organize SQL Server indexes</t>
  </si>
  <si>
    <t>Very clear and well written.</t>
  </si>
  <si>
    <t>Non-sense conclusions out of a trivial example.</t>
  </si>
  <si>
    <t>Very nice differentation between extension methods vs fluent interfaces.</t>
  </si>
  <si>
    <t>Learn Powershell Core 6.0</t>
  </si>
  <si>
    <t>2020-04-03</t>
  </si>
  <si>
    <t>Powershell and Python Together</t>
  </si>
  <si>
    <t>2020-04-04</t>
  </si>
  <si>
    <t>Powershell Core 6.2</t>
  </si>
  <si>
    <t>2020-04-05</t>
  </si>
  <si>
    <t>2020-04-10</t>
  </si>
  <si>
    <t>C# Code Contracts Succintly</t>
  </si>
  <si>
    <t>Beginning Git and Github</t>
  </si>
  <si>
    <t>2020-04-11</t>
  </si>
  <si>
    <t>Git Succintly</t>
  </si>
  <si>
    <t>LINQPad Succintly</t>
  </si>
  <si>
    <t>Coding for Python vol.37</t>
  </si>
  <si>
    <t>2020-04-14</t>
  </si>
  <si>
    <t>Black Dog Media</t>
  </si>
  <si>
    <t>Application Security in .NET Succintly</t>
  </si>
  <si>
    <t>Python</t>
  </si>
  <si>
    <t>ReadDate</t>
  </si>
  <si>
    <t>ReadYear</t>
  </si>
  <si>
    <t>ReadMonth</t>
  </si>
  <si>
    <t>Structure and Interpretation of Computer Programs</t>
  </si>
  <si>
    <t>2020-10-14</t>
  </si>
  <si>
    <t>MIT Press</t>
  </si>
  <si>
    <t>Entity Framework Core Succintly</t>
  </si>
  <si>
    <t>How-To Take Smart Notes</t>
  </si>
  <si>
    <t>An Introduction to Information Retrieval</t>
  </si>
  <si>
    <t>Data Driven</t>
  </si>
  <si>
    <t>Thinking in C#</t>
  </si>
  <si>
    <t>The Dip</t>
  </si>
  <si>
    <t>Building Great Software Engineering Teams</t>
  </si>
  <si>
    <t>Practical Enterprise Software Development Techniques</t>
  </si>
  <si>
    <t>So Good They Can't Ignore You</t>
  </si>
  <si>
    <t>Don't Make Me Think (Revisited)</t>
  </si>
  <si>
    <t>.NET Design Patterns</t>
  </si>
  <si>
    <t>Functional Programming in C#</t>
  </si>
  <si>
    <t>2020-10-17</t>
  </si>
  <si>
    <t>2020-10-20</t>
  </si>
  <si>
    <t>2020-10-27</t>
  </si>
  <si>
    <t>2020-10-28</t>
  </si>
  <si>
    <t>2020-11-09</t>
  </si>
  <si>
    <t>2020-11-10</t>
  </si>
  <si>
    <t>2020-11-12</t>
  </si>
  <si>
    <t>2020-11-15</t>
  </si>
  <si>
    <t>2020-11-26</t>
  </si>
  <si>
    <t>2020-12-18</t>
  </si>
  <si>
    <t>McGraw Hill</t>
  </si>
  <si>
    <t>Penguin Books</t>
  </si>
  <si>
    <t>Hachette</t>
  </si>
  <si>
    <t>Self-Published</t>
  </si>
  <si>
    <t>GitHub: Amplify Your Software Development with Social Coding</t>
  </si>
  <si>
    <t>Total Pages</t>
  </si>
  <si>
    <t>Article Pages</t>
  </si>
  <si>
    <t>Book Pages</t>
  </si>
  <si>
    <t>Book Cost</t>
  </si>
  <si>
    <t>Rating</t>
  </si>
  <si>
    <t>Jenkins, Docker and DevOps: The Innovation Catalysts</t>
  </si>
  <si>
    <t>2021-02-08</t>
  </si>
  <si>
    <t>NuGet In-House Succintly</t>
  </si>
  <si>
    <t>Azure Functions Succintly</t>
  </si>
  <si>
    <t>2021-02-16</t>
  </si>
  <si>
    <t>App Modernization on Azure Succintly</t>
  </si>
  <si>
    <t>Visual Studio 2019 Succintly</t>
  </si>
  <si>
    <t>2021-02-17</t>
  </si>
  <si>
    <t>SQL Server Metadata Succintly</t>
  </si>
  <si>
    <t>Hands-on DevOps with Vagrant</t>
  </si>
  <si>
    <t>2021-02-19</t>
  </si>
  <si>
    <t>Vagrant Virtual Development Environment Cookbook</t>
  </si>
  <si>
    <t>Using .NET Core, Docker and Kubernetes Succintly</t>
  </si>
  <si>
    <t>2021-02-21</t>
  </si>
  <si>
    <t>Getting The Most from LINQPad Succintly</t>
  </si>
  <si>
    <t>Azure DevOps Succintly</t>
  </si>
  <si>
    <t>2021-02-22</t>
  </si>
  <si>
    <t>7 Tips for Writing Acceptance Criteria with Examples</t>
  </si>
  <si>
    <t>Closing the loopholes: testing Stored Procedures</t>
  </si>
  <si>
    <t>Defensive Design: An Experiment</t>
  </si>
  <si>
    <t>Dependency Injection anti-pattern: multiple constructors</t>
  </si>
  <si>
    <t>2021-02-23</t>
  </si>
  <si>
    <t>Very good article.</t>
  </si>
  <si>
    <t>Why favor PostgreSQL over MariaDB/MySQL</t>
  </si>
  <si>
    <t>PostgreSQL</t>
  </si>
  <si>
    <t>Too short into argumenting reasons.</t>
  </si>
  <si>
    <t>Using dependency injection in multiple .NET Core projects</t>
  </si>
  <si>
    <t>Do not log</t>
  </si>
  <si>
    <t>Building and Testing a .NET Standard library on Linux</t>
  </si>
  <si>
    <t>Writing Unit Tests for void methods using xUnit, Moq and Dotnet Core CLI</t>
  </si>
  <si>
    <t>2021-02-24</t>
  </si>
  <si>
    <t>Applying Agile Methodology to Data Science Projects</t>
  </si>
  <si>
    <t>How Arduino uses Github</t>
  </si>
  <si>
    <t>How to run a .NET Core console app as a service using systemd on Linux (RHEL)</t>
  </si>
  <si>
    <t>How to create your .NET project template</t>
  </si>
  <si>
    <t>Working with NuGet packages and GitHub</t>
  </si>
  <si>
    <t>Airbnb-quality data for all</t>
  </si>
  <si>
    <t>Having fun with Microsoft IoC Container for .NET Core</t>
  </si>
  <si>
    <t>Very useful and clear.</t>
  </si>
  <si>
    <t>Implementing an interface in Python</t>
  </si>
  <si>
    <t>Python Crash Course</t>
  </si>
  <si>
    <t>2021-03-18</t>
  </si>
  <si>
    <t>Modern Python Cookbook (2nd Edition)</t>
  </si>
  <si>
    <t>2022-09-01</t>
  </si>
  <si>
    <t>Le Reti Sociali e La Teoria dei Grafi</t>
  </si>
  <si>
    <t>2023-03-14</t>
  </si>
  <si>
    <t>RBA</t>
  </si>
  <si>
    <t>CLenght</t>
  </si>
  <si>
    <t>WorthBuying</t>
  </si>
  <si>
    <t>WorthReadingAgain</t>
  </si>
  <si>
    <t>StreetPrice</t>
  </si>
  <si>
    <t>OnGoodreads</t>
  </si>
  <si>
    <t>2019-10-23</t>
  </si>
  <si>
    <t>2019-11-18</t>
  </si>
  <si>
    <t>Currency</t>
  </si>
  <si>
    <t>USD</t>
  </si>
  <si>
    <t>Language</t>
  </si>
  <si>
    <t>EN</t>
  </si>
  <si>
    <t>IT</t>
  </si>
  <si>
    <t>Useless. The XPath part is too much tied to XSLT.</t>
  </si>
  <si>
    <t>Useless. Extremely repetitive and full of redundancy, reading it gives headache, awful layout.</t>
  </si>
  <si>
    <t>Useful. Good book for the scope is meant for.</t>
  </si>
  <si>
    <t>Useful. Good book.</t>
  </si>
  <si>
    <t>Useless. It's a rant.</t>
  </si>
  <si>
    <t xml:space="preserve">Useless. </t>
  </si>
  <si>
    <t>Useful. Ok book.</t>
  </si>
  <si>
    <t>Useless. It's a book full of bullshit.</t>
  </si>
  <si>
    <t>Useful. Overall a decent book, but the layout of the book is very frustrating, and the content is too much XAML-oriented.</t>
  </si>
  <si>
    <t>Useful. Good book, but too many 'See Chapter x' and lack of bold typesettings.</t>
  </si>
  <si>
    <t>Useless. Almost the whole book is a rant.</t>
  </si>
  <si>
    <t>Useless. A mix between an essay about architecture / philosophy and a biography. Very heavy to read. Examples in LISP.</t>
  </si>
  <si>
    <t>Useful. Ok book to learn how to re-engineer (improve) your own previous code, and to not do the same mistakes again.</t>
  </si>
  <si>
    <t>Useful. Very succint, clear and full of examples.</t>
  </si>
  <si>
    <t>Useless. It talks only about Github API.</t>
  </si>
  <si>
    <t>Useless. Contains really technical insights about Git, not so useful at the current stage.</t>
  </si>
  <si>
    <t>Useless. It contradicts other programming books.</t>
  </si>
  <si>
    <t>Useless. I skipped some parts, it's very heavy in some extents and not the "bible" they all talk about.</t>
  </si>
  <si>
    <t>Useful. Ok book, but I knew already most of the concepts. The design pattern part could be worth a second read in the future.</t>
  </si>
  <si>
    <t>Useful. Quite good book, the first chapters are very valuable.</t>
  </si>
  <si>
    <t>Useful. Good book. It could be worth a second read in the future.</t>
  </si>
  <si>
    <t>Useful. Good overview.</t>
  </si>
  <si>
    <t>Useful. It contains some mature considerations, but also many obsolete examples in Smalltalk.</t>
  </si>
  <si>
    <t>Useful. Extremely complete and well explained book. It's definitely worth the money.</t>
  </si>
  <si>
    <t>Useful. Very good book, it's a project manager's POV over the topic. It could be worth a second read in the future.</t>
  </si>
  <si>
    <t>Useful. Quite the same content as in "Introducing Github".</t>
  </si>
  <si>
    <t>Useful. Good and no-frills introduction to Github.</t>
  </si>
  <si>
    <t>Useless. Heavy book and minimal amount of re-usable information.</t>
  </si>
  <si>
    <t>Useful. It's ok, but a bit repetitive and touches other topics such as tools and processes.</t>
  </si>
  <si>
    <t>Useful. Good overview. The detailed description of the algorithms could be worth a second read in the future..</t>
  </si>
  <si>
    <t>Useful. Good overview but no bold fonts used. The detailed description of the algorithms could be worth a second read in the future..</t>
  </si>
  <si>
    <t>Useless. Ok book for XSLT, but not ok for XPath itself.</t>
  </si>
  <si>
    <t>Useless. Many examples are ramblings that are very difficult to follow. It could be worth a second read in the future, with more experience. Skipped Part 4 ("DI Containers").</t>
  </si>
  <si>
    <t>Useless. This book states the obvious and it doesn't use bold font.</t>
  </si>
  <si>
    <t>Useful. Clearly written book, but I already knew most of the things.</t>
  </si>
  <si>
    <t>Useless. Really difficult to read, lot of uppercase words, no summaries, messed up use of bold fonts. Skipped after page 100.</t>
  </si>
  <si>
    <t>Useless. It repeats concepts already known in a boring way.</t>
  </si>
  <si>
    <t>Useless. The funky layout adopted makes the reading impossible.</t>
  </si>
  <si>
    <t>Useful. Most of recipes are quite uninteresting, some could be useful in the future.</t>
  </si>
  <si>
    <t>Useful. Clear and concise.</t>
  </si>
  <si>
    <t>Useful. Excellent book about desing patterns, definitely worth it.</t>
  </si>
  <si>
    <t>Useless. Very confusing, it keeps mixing up concepts and moving back/forward each three lines. Skipped after page 127.</t>
  </si>
  <si>
    <t>Useless. This book is more like an essay than an IT manual. The comparisons between C# versions are just crap. Skipped after page 164.</t>
  </si>
  <si>
    <t>Useless. This book is just a poor and super-quick walkthrough thru available scraping technologies.</t>
  </si>
  <si>
    <t>Useful. Extremely good book and clearly explained. It made me understand easily concepts that other books weren't able to. Definitely worth it.</t>
  </si>
  <si>
    <t>Useful. Ok book, I liked the summary at the end.</t>
  </si>
  <si>
    <t>Useful. Good book. It centralizes all the best tips taken from different books in one single place.</t>
  </si>
  <si>
    <t>Useful. Good overview for beginners, but its really funky use of fonts/color layout makes it hard to read on e-ink.</t>
  </si>
  <si>
    <t>Useful. Too much un-specific and omni-comprehensive. It could be worth a second read in the future. Skipped after page 127.</t>
  </si>
  <si>
    <t>Useful. Very concise and practical book, with examples in C#. Definitely worth it, in general and of a second read in the future.</t>
  </si>
  <si>
    <t>Useful. Ok book, but I knew already most of the things. It's more like a book for evangelists than a practical manual.</t>
  </si>
  <si>
    <t>Useful. Ok overview, it contains some tips I didn't know.</t>
  </si>
  <si>
    <t>Useless. Extremely tedious to read due of the continuous references to other paragraphs, and due of the immens repetitiveness. The number of the pages could have been easily reduced by 1/3 if a proper editor would have proof-read this book. Absolutely awful. Skipped after page 500.</t>
  </si>
  <si>
    <t>Useful. Really awesome book.</t>
  </si>
  <si>
    <t>Useful. Good book overall, but I already knew 3/4 of the content.</t>
  </si>
  <si>
    <t>Useful. Both the content of the book and it's layout are excellent.</t>
  </si>
  <si>
    <t>Useful. Provides a good overview, but it looks too small on a 6' e-ink screen. Some parts could be worth a second read in the future.</t>
  </si>
  <si>
    <t>Useful. Ok book. It could be worth a second read in the future.</t>
  </si>
  <si>
    <t>Useful. Ok as "getting started" book, but I already knew most of the content.</t>
  </si>
  <si>
    <t>Useless. It contains shamelessy generic suggestions and lot of exercises that would fit more into a "Algorithms for Dummies" book. Skipped after page 100.</t>
  </si>
  <si>
    <t>Useless. Lot of references to the future make it un-readable, code snippets look too light on e-ink and I already knew most of the things.</t>
  </si>
  <si>
    <t>Useless. I already knew most of the things contained in this book.</t>
  </si>
  <si>
    <t>Useless. Too much theoretical book, no practical information. Skipped after page 250.</t>
  </si>
  <si>
    <t>Useful. It's an ok introductive book. Skipped after page 200.</t>
  </si>
  <si>
    <t>Useless. It contains lot of useless and obvious examples. Skipped after page 200.</t>
  </si>
  <si>
    <t>Useless. It's basically a PHP syntax showcase with obvious information in between. Skipped after page 120.</t>
  </si>
  <si>
    <t>Useful. It's like a "software development getting started" guide. It briefly covers everything in 200 pages.</t>
  </si>
  <si>
    <t>Useless. After the first few pages about a quick overview of C# 7.0 new features, it wastes 700+ pages on well known C# concepts. This is definitely a poorly planned book that we can easily live without. Skipped after page 598.</t>
  </si>
  <si>
    <t>Useful Ok book.</t>
  </si>
  <si>
    <t>Useless. A copy-and-paste of dozens of different topics in the same book.</t>
  </si>
  <si>
    <t>Useless. Too much theorethical book, but it could be useful to do most of the exercises in the future. Skipped after page 113.</t>
  </si>
  <si>
    <t>Useful. Quite detailed and dense book, well written and explained. It may worth to go thru the experiments again in the future once I have all the tools and components.</t>
  </si>
  <si>
    <t>Useless. Ok book but definitely not "pro" as the title says. It's just a list of features with descriptions.</t>
  </si>
  <si>
    <t>Useful. Very good book, clearly written and comprehensive. It misses a chapter about to model a machine learning-backed system with practical examples, and it relies too much on pre-made tools to do tasks.</t>
  </si>
  <si>
    <t>Useful. Very clearly explained book.</t>
  </si>
  <si>
    <t>Useful. Very well written book, it contains lot of useful suggestions and it's very readable fast due of the good use of short sentences.</t>
  </si>
  <si>
    <t>Useless. Too much tied with R, no generic methods or concepts, really un-appliable outside R.</t>
  </si>
  <si>
    <t>Useful. Ok book to start with.</t>
  </si>
  <si>
    <t>Useful. Ok book, not great as they say online.</t>
  </si>
  <si>
    <t>Useful. It clarifies some doubts.</t>
  </si>
  <si>
    <t>Useful. The first part of the book is very interesting, the second one is just a list of thirdy party technologies.</t>
  </si>
  <si>
    <t>Useful. Ok book as getting started guide, but some pages (like network security) have been added just to make the book longer.</t>
  </si>
  <si>
    <t>Useful. Fairly honest getting started book, very well structured, but it contains few advanced tips.</t>
  </si>
  <si>
    <t>Useful. It contains some good tips.</t>
  </si>
  <si>
    <t>Useful. Ok overview.</t>
  </si>
  <si>
    <t>Useless. The title of the book has nothing to do with its content. It's just a list of Docker commands, not a deep dive into Docker orchestration.</t>
  </si>
  <si>
    <t>Useful. The tips about Git Hooks and build.sh/test.sh/push.sh scripts are very useful. The other recipes are mostly too much basic or too much specific.</t>
  </si>
  <si>
    <t>Useless. It's written "backwards", therefore it's very hard to follow. The abuse of sarcasm makes the writing style quite childish to avoid. Skipped after page 24.</t>
  </si>
  <si>
    <t>Useless. Well written, but it contains totally useless and generic content. Plus, it repeats several times the same statements, and that makes the reading tedious.</t>
  </si>
  <si>
    <t>Useful. Very easy to read and no-frills book. It explains quickly and clearly everything you need to do to get started.</t>
  </si>
  <si>
    <t>Useful. Clearly written, the first half is the best one.</t>
  </si>
  <si>
    <t>Useful. Ok as a basic book.</t>
  </si>
  <si>
    <t>Useful Basic overview, very readable writing style.</t>
  </si>
  <si>
    <t>Useless. It clarifies concepts like the role of a data scientist or the structure of a data lake in a script-based environment, but apart from that most of the book is only about Python listings plus very short descriptions of the techniques.</t>
  </si>
  <si>
    <t xml:space="preserve">Useless. This book is a collection of facts, closer to a journalistic essay than to a technical book with actionable knowledge the reader can take and re-use. </t>
  </si>
  <si>
    <t>Useful. Quite general book about design principles, color theory, kinds of visualization available and their meansings, etc. Easy to read, but not particularly useful or breakthrough.</t>
  </si>
  <si>
    <t>Useless. I appreciate the fact that it's one of the few books written from a database developers' point of view, but his writing style is very redundant and the book contains basically a mix of ramblings and personal opinions, providing zero re-purposable knowledge.</t>
  </si>
  <si>
    <t>Useless. The author writes about code readibility, but totally ignores whatever syntax rule for his variables. He sacrifices readability to make his snippets take less space. The stories he makes up are really boring to read, and waste of paper. The only interesting parts of the book are the footnotes: the author seems to have read a huge amount of C.S. books in the last decades.</t>
  </si>
  <si>
    <t>Useless. Quite generic and lacking of actionable knowledge.</t>
  </si>
  <si>
    <t>Useful. The book contains pretty much everything you need to know about databases, from the relational ones to the NoSQL ones, going thru data warehouses as well. It's well written, and it's definitely a good book to pick if you can pick just one. Not suitable for whom already works in the field and comes from a computer science course.</t>
  </si>
  <si>
    <t>Useless. Lot of benchmarks around snippets of code addressed to solve quite niche issues.</t>
  </si>
  <si>
    <t>Useless. Well written, but low amount of actionable information.</t>
  </si>
  <si>
    <t>Useful. Ok book!</t>
  </si>
  <si>
    <t>Useful. Ok book, well written but some parts are obsolete now.</t>
  </si>
  <si>
    <t>Useful. It starts as a good summary of tips to be effective, that could be a gold mine if you never dived into the topic (I knew all of them after years refining my workflow). The book starts being very repetitive after page 70 or so, writing the same concept again and again, and being redundant with examples.</t>
  </si>
  <si>
    <t>Useful. Entry-level book for newcomers, not very useful for whom already does this job and / or reached the same conclusions with common sense.</t>
  </si>
  <si>
    <t>Useless. Basic book about Linux command-line, plus some data science tools in the mix.</t>
  </si>
  <si>
    <t>Useless. The title of the book is quite misleading, because the first 190 pages (out of 353) are dedicated to PowerPivot for Excel, that has pretty much anything to do with the "PowerBi" in the title. The second half of the book provides a very basic overview of PowerBi Desktop tool, but the usefulness is very low. With a proper editor in place, this book would have never published.</t>
  </si>
  <si>
    <t>Useless. A bucket of miscellaneous paragraphs about different topics that don't follow a common discussion.</t>
  </si>
  <si>
    <t>Useless. Ok book for a computer science student, but not for a professional (also if I found some interesting information in the MySQL part). It would be worth to check all the books and articles that the author references at the end of each chapter.</t>
  </si>
  <si>
    <t>Useful. Good overview, it contains some useful information also for whom works with data science since a while, but no practical guides, just theory.</t>
  </si>
  <si>
    <t>Useful. Very comprehensive and well-written book.</t>
  </si>
  <si>
    <t>Useless. Skipped after page 63.</t>
  </si>
  <si>
    <t>Useful. Ok book, it contains some actionable knowledge.</t>
  </si>
  <si>
    <t>Useful. Well written, few actionable tips.</t>
  </si>
  <si>
    <t xml:space="preserve">Useless. Well written, but few actionable concepts. It rearranges concepts taken from other books (Single Responsibility, …) and it applies them to package design. </t>
  </si>
  <si>
    <t>Useless. Basically, you'll get 500 pages of numbered lists containing mostly textual step-by-step guides that refere to the attached Excel files. Really unpleasant to read and follow. Skipped after page 100.</t>
  </si>
  <si>
    <t>Useful. It covers too many domains of knowledge and that's a con, but it contains some difficult concepts about statistics explained simply.</t>
  </si>
  <si>
    <t>Useful. Very well written and comprehensive book, even if it starts repeating the same concepts all over again after a while, applying them to different topics. Without all this repetitiveness, it would have been perfect.</t>
  </si>
  <si>
    <t>Useless. Just a list of functions, visuals and options.</t>
  </si>
  <si>
    <t>Useless. A repetitive rant.</t>
  </si>
  <si>
    <t>Useful. Good book, it makes you understand things that were totally unclear in many other books about the same topic, like: different source types, PowerBi versions, possibilities and licensings.</t>
  </si>
  <si>
    <t>Useless. Ok book in absolute terms, but quite redundant if you already read "Pro PowerBi Architecture" by the same author.</t>
  </si>
  <si>
    <t>Useful. Ok book, quite repetitive in the second half.</t>
  </si>
  <si>
    <t>Useful. It's indeed a very complete book that covers many topics, but on the other end it's very repetitive. The same content could have been written in a half of its pages without loss of information.</t>
  </si>
  <si>
    <t>Useless. Few actionable concepts.</t>
  </si>
  <si>
    <t>Useless. It's a school textbook, too much basic. Plus, the case scenario the Author made up to explain concepts is too difficult to read.</t>
  </si>
  <si>
    <t>Useless. It looks like a commercial brochure.</t>
  </si>
  <si>
    <t>Useless. A collection of exercises about how to implement mathematical and statistical functions in C#. Skipped after page 100.</t>
  </si>
  <si>
    <t>Useful. It contains some useful information regarding disassemblers.</t>
  </si>
  <si>
    <t>Useless. Bunch of interviews to SQL people. Really boring to read. Skipped after page 35.</t>
  </si>
  <si>
    <t>Useful. Very clearly written and very comprehensive. It contains knowledge that I didn't read in any other book about the topic, such as performance optimization for both multidimensional and tabular models. It may be worth to read some parts again in the future - for ex. multidimensional mode.</t>
  </si>
  <si>
    <t>Useful. Short and clear, expecially the first part regarding the MSBI stack.</t>
  </si>
  <si>
    <t>Useless. This book looks like it has been written by a student who had four essays already written for school about different topics, and assembled them together. It's nice that he wanted to contribute to the Succintly serie, but the outcome doesn’t suit a book targetting professionals.</t>
  </si>
  <si>
    <t>Useful. Very detailed book.</t>
  </si>
  <si>
    <t>Useful. Clearly written, contains some information never read elsewhere. I appreciated the Fact/Discussion/Controversy structure. It may be worth to check all the books mentioned in the "References" sections.</t>
  </si>
  <si>
    <t>Useless. The same content of his free ebook for Syncfusion ("Visual Studio Code Succintly") with the addition of some screenshots, some brochure-like paragraphs and some updates. You can easily avoid to buy this if you read the Succintly one.</t>
  </si>
  <si>
    <t xml:space="preserve">Useless. It's not badly written, but it doesn't follow a linear, subsequent way to expose concepts. Every chapter is a collection of notions that are partially related each others, and this style makes the book really difficult to follow and make practical use of it. Skipped after page 140. </t>
  </si>
  <si>
    <t>Useless. Not badly written, but it explains almost every concept with a different tool. Should the reader learn a dozen of complex tools to understand a dozen of machine learning techniques? Shouldn't the author explain concepts in a tool-agnostic way instead?</t>
  </si>
  <si>
    <t>Useless. Original approach used to write about algorithms, but that's all.</t>
  </si>
  <si>
    <t>Useful. Ok book, but I think that the Author could have avoided the part about how-to install Ubuntu Desktop, since it's a book about Ubuntu Server. That part is basically only a filler.</t>
  </si>
  <si>
    <t>Useful. Good preview.</t>
  </si>
  <si>
    <t>Useful. Ok introduction.</t>
  </si>
  <si>
    <t>Useful. Good book for college students, explain most of the necessary concepts a C# developer must know in a simple and clear way. Very comprehensive book.</t>
  </si>
  <si>
    <t>Useless. The book assembles a plethora of topics from different sources, covering a very broad amount of topics that have nothing to do with the title and they add basically nothing to do the knowledge you might already have. It's a copy'n'paste exercise like all the Packt books I read until now.</t>
  </si>
  <si>
    <t>Useless. Usual Packt book created by copying and paste official documentation, and by adding additional material to the chapters and tons of redundant comments to the code listings to make the book longer. Pretty much a piece of junk, save up your money.</t>
  </si>
  <si>
    <t>Useless. The author dumps into the book the full output of Get-Help for several cmdlets, and basically does tasks piping Powershell into Python and viceversa also when the task could be easily done in one scripting language alone - for ex. serialize a dictionary into a text file.</t>
  </si>
  <si>
    <t>Useless. Around 300 pages out of 709 are dedicated to very specific system administration tasks on-premise and on the cloud, which couldn't be relevant for you if you are looking for more generic use cases. Few hints are actionable.</t>
  </si>
  <si>
    <t>Useless. Not bad for a very basic introduction, but it's more screenshot than code snippets. The book doesn't cover at all the object-oriented part, like how to create classes etc. For 9.99 pounds is an ok purchase.</t>
  </si>
  <si>
    <t>Useless. Many development gurus described it like a "life changer" book, so I gave it a shot. Indeed it explains the topic in an original way and it's very well written, but it doesn't give you any breakthrough input or any actionable piece of knowledge.</t>
  </si>
  <si>
    <t>Useless. Ok book.</t>
  </si>
  <si>
    <t>Useless. A glorification of the Luhmann's slip-box method for taking notes, written by an academic for young academics in the search of help about writing a paper. It's written in smooth English, but it's not a breakthrough book. If you are already a continuous learner or an advanced not taker, you won't learn any actionable knowledge from this book.</t>
  </si>
  <si>
    <t>Useful. A very comprehensive book that touches many different topics (text documents, queries, automatons, indexes, machine learning, NLP, dictionaries, ...). A good introduction for whom is new to the topic or for whom has interest to know the mathematical concepts behind it.</t>
  </si>
  <si>
    <t>Useful. Ok book about data transformations for marketers.</t>
  </si>
  <si>
    <t>Useful. Very readable and comprehensive, but around the 30% of the examples are written in Java instead of C#, which gives back a very cheap feeling.</t>
  </si>
  <si>
    <t>Useless. The book states the obvious, but in a motivational fashion. It's already short, but it could be 3x shorter without losing information. The same concepts can be explained in 20 pages max.</t>
  </si>
  <si>
    <t>Useful. Ok book, written in a concise and easy-to-read way, and with a good layout.</t>
  </si>
  <si>
    <t>Useless. It's an ok summary for a graduate, but not so much useful for a professional.</t>
  </si>
  <si>
    <t>Useless. Motivational book that states pretty much the obvious, but it has usefully collected all the theories about the topic in the same book, which could come up in handy.</t>
  </si>
  <si>
    <t>Useful. Brilliant book! This has all the characteristics to become a classic!</t>
  </si>
  <si>
    <t>Useful. The private NuGet server setup how-to is very handy.</t>
  </si>
  <si>
    <t>Useless. Basically an overview about the Azure offering.</t>
  </si>
  <si>
    <t>Useless. Good overview, but as for every Packt book I read so far, it could have 70% less pages without losing content.</t>
  </si>
  <si>
    <t>Useless. Contains few useful information.</t>
  </si>
  <si>
    <t>Useful. Explains some LinqPAD's features I wasn't aware of.</t>
  </si>
  <si>
    <t>Useful. Very clear and well written introductory book.</t>
  </si>
  <si>
    <t>Useless. The book is organized as a sequence of totally unrelated recipes, and each of them list dozens of methods for each type or argument - for ex. ten ways to chop a string. This book is -extremely boring- and pretty much useless. It also shows commands running in the REPL one by one instead of a .py script, which makes everything very hard to read. It's only good as toilet paper, avoid. Skipped after page 50.</t>
  </si>
  <si>
    <t>Useful. Ok book, it would be useful to read it again and analyze the code snippets in more details.</t>
  </si>
  <si>
    <t>Useless. Well written, but it doesn't contain actionable knowledge. It 's just a collection of theories drown in a colloquial discourse.</t>
  </si>
  <si>
    <t>Refactoring: Improving the Design of Existing Code</t>
  </si>
  <si>
    <t>Getting Started with MariaDB (2nd Edition)</t>
  </si>
  <si>
    <t>ASP .NET Core Succinctly</t>
  </si>
  <si>
    <t>Publishing Python Packages</t>
  </si>
  <si>
    <t>2023-06-04</t>
  </si>
  <si>
    <t>Useful. Ok introduction to the topic.</t>
  </si>
  <si>
    <t>Excel Data Analysis</t>
  </si>
  <si>
    <t>University of Queensland Library</t>
  </si>
  <si>
    <t>Useless. This is only a basic guide to the Analysis Toolpack add-on for Excel.</t>
  </si>
  <si>
    <t>I Heart Logs</t>
  </si>
  <si>
    <t>How to Become a Freelance Data Scientist</t>
  </si>
  <si>
    <t>L'Almanacco di Naval Ravikant</t>
  </si>
  <si>
    <t>ROI Edizioni</t>
  </si>
  <si>
    <t>Intermediate Python</t>
  </si>
  <si>
    <t>2023-06-06</t>
  </si>
  <si>
    <t>Tricks and Tips: Python Coding</t>
  </si>
  <si>
    <t>PCL Publications</t>
  </si>
  <si>
    <t>Useless. This book is just a list of randomly-chosen code listings taken from the internet.</t>
  </si>
  <si>
    <t>I Big Data, Il Machine Learning e La Statistica</t>
  </si>
  <si>
    <t>2023-06-01</t>
  </si>
  <si>
    <t xml:space="preserve">Useless. Well written, but it doesn't contain actionable knowledge. </t>
  </si>
  <si>
    <t>CommentLenght</t>
  </si>
  <si>
    <t>Python Tricks: A Buffet of Awesome Python Features</t>
  </si>
  <si>
    <t>2023-08-16</t>
  </si>
  <si>
    <t>Useful. An ok book for beginners.</t>
  </si>
  <si>
    <t>Fluent Python</t>
  </si>
  <si>
    <t xml:space="preserve">Useless. The book could be three times less pages and still provide the same amout of actionable knowledge. The author indulges into adding pages and pages of unrelevant information (mailing list discussions, implementation details, ...) that the reader who's looking into starting solving problems using Python does't need. </t>
  </si>
  <si>
    <t>How To Become Fluent in Data Science</t>
  </si>
  <si>
    <t>2023-08-17</t>
  </si>
  <si>
    <t>Sharp Sight</t>
  </si>
  <si>
    <t>Useless. Full of assumptions and arrogance.</t>
  </si>
  <si>
    <t>Pandas Workout (MEAP)</t>
  </si>
  <si>
    <t>2023-08-31</t>
  </si>
  <si>
    <t>Useful. An enough readable "getting started" book.</t>
  </si>
  <si>
    <t>Development Tools</t>
  </si>
  <si>
    <t>Pandas in 7 Days</t>
  </si>
  <si>
    <t>2023-09-04</t>
  </si>
  <si>
    <t>BPB Publications</t>
  </si>
  <si>
    <t>Useful. A decent "Getting Started" book about Pandas, but nothing extraordinary. My copy lacks of bold fonts, which makes it a bit hard to read.</t>
  </si>
  <si>
    <t>Effective Pandas: Patterns for Data Manipulation</t>
  </si>
  <si>
    <t>2023-09-07</t>
  </si>
  <si>
    <t>Useful. The book indeed contains information that other books about Pandas don't - for ex. about performances -, but the author advocates for big blocks of chained methods which it's a quite debatable way to write maintanable code.</t>
  </si>
  <si>
    <t>Clean Architecture in Python</t>
  </si>
  <si>
    <t>2023-09-08</t>
  </si>
  <si>
    <t>Machine Learning Yearning (Draft)</t>
  </si>
  <si>
    <t>2023-09-11</t>
  </si>
  <si>
    <t xml:space="preserve">Useful. A lightweight introduction to neural networks and image classification. </t>
  </si>
  <si>
    <t>Open Source Projects: Beyond Code</t>
  </si>
  <si>
    <t>Useful. A good introduction for beginners, but nothing new for advanced users.</t>
  </si>
  <si>
    <t>Useful Python</t>
  </si>
  <si>
    <t>2023-09-12</t>
  </si>
  <si>
    <t>SitePoint</t>
  </si>
  <si>
    <t>Useful. Fifty pages of basic Python knowledge for beginners.</t>
  </si>
  <si>
    <t>Be Data Analytical</t>
  </si>
  <si>
    <t>Useful. A decent introduction for beginners, but it could have been shorter without impacting the content, because it's a but repetitive.</t>
  </si>
  <si>
    <t>Creating Software with Modern Diagramming Techniques</t>
  </si>
  <si>
    <t>2023-09-13</t>
  </si>
  <si>
    <t>Useful. A comprehensive "Getting Started" book for Mermaid beginners, but nothing new for advanced users.</t>
  </si>
  <si>
    <t>Python for Excel</t>
  </si>
  <si>
    <t>Useful. It contains knowledge I didn't find in other books about Python and it's well written.</t>
  </si>
  <si>
    <t>Red Gate Books</t>
  </si>
  <si>
    <t>KBSize</t>
  </si>
  <si>
    <t>Learning AWS IoT</t>
  </si>
  <si>
    <t>2023-12-21</t>
  </si>
  <si>
    <t>Useful. Ok as a "Getting Started" guide.</t>
  </si>
  <si>
    <t>Building Python Web APIs with FastAPI</t>
  </si>
  <si>
    <t>Useful. A concise but comprehensive book.</t>
  </si>
  <si>
    <t>2023-12-31</t>
  </si>
  <si>
    <t>Useful. It's unstructed and caotic like most of the Packt books, but it contains some useful bits of information.</t>
  </si>
  <si>
    <t>Useful. It contains some useful information, but it's unstructured and it has a low readiblity layout due of the Github links at the bottom of every code example.</t>
  </si>
  <si>
    <t>2024-01-04</t>
  </si>
  <si>
    <t>The Rules of Programming (Early Release)</t>
  </si>
  <si>
    <t>2024-01-06</t>
  </si>
  <si>
    <t>Useless. Well written, but nothing new under the sun. Pretty useless book.</t>
  </si>
  <si>
    <t>Concise Guide to Software Engineering</t>
  </si>
  <si>
    <t>Useless. I guess that for a beginner this book could have a certain degree of usefullness, but for a software developer with some years of experience it has none.</t>
  </si>
  <si>
    <t>Building Data Science Applications with FastAPI (2nd Edition)</t>
  </si>
  <si>
    <t>Building Python Microservices with FastAPI (1st Edition)</t>
  </si>
  <si>
    <t>ProxMox VE Administration Guide - Release 7.2</t>
  </si>
  <si>
    <t>2024-02-19</t>
  </si>
  <si>
    <t>Useful. It shows how well ProxMox has been designed.</t>
  </si>
  <si>
    <t>Clean Architecture</t>
  </si>
  <si>
    <t>Useful. A good book for beginners, well-written and clear. The last part about the history of computers could be easily removed.</t>
  </si>
  <si>
    <t>Python How-To</t>
  </si>
  <si>
    <t>2024-02-20</t>
  </si>
  <si>
    <t>Useless. Well-written, but it contains no original nor well-structured knowledge. In addition, the second half of the book is not about Python but about Flask. Totally useless book.</t>
  </si>
  <si>
    <t>Python Foundation</t>
  </si>
  <si>
    <t>Useless. Very basic overview about multiple Python-related topics. The layout of the book is horrible (dense, lack of bold face, ...).</t>
  </si>
  <si>
    <t>Python Unit Test Automation (2nd Edition)</t>
  </si>
  <si>
    <t>Useless. Just a walkthrough of Python unit test frameworks. No original content.</t>
  </si>
  <si>
    <t>Testing in Python</t>
  </si>
  <si>
    <t>Useless. Too much opinionated towards pytest, not able to explain why pytest is better than unittest in a convincing way.</t>
  </si>
  <si>
    <t>2024-02-25</t>
  </si>
  <si>
    <t>Python Object-Oriented Programming (4th Edition)</t>
  </si>
  <si>
    <t>Useful. An ok getting started guide for whom wants to learn OOP and Python from scratch at the same time.</t>
  </si>
  <si>
    <t>Intermediate Python [MLI]</t>
  </si>
  <si>
    <t>MLI</t>
  </si>
  <si>
    <t>Useless. Well-written (organized like a recipe book and without ramblings), but contains no different knowledge than hundreds of Python books.</t>
  </si>
  <si>
    <t>Learning Advanced Python By Studying Open-Source Projects</t>
  </si>
  <si>
    <t>CRC Press</t>
  </si>
  <si>
    <t>Useless. The book title is misleading: the author doesn't study any open-source project. It's just a Python cookbook like hundreds others.</t>
  </si>
  <si>
    <t>Python in a Nutshell (4th Edition)</t>
  </si>
  <si>
    <t>Useful. Well-written and comprehensive, it contains few bits of information I didn't know.</t>
  </si>
  <si>
    <t>Python 3 And Feature Engineering</t>
  </si>
  <si>
    <t>Useful. No-frills introduction to feature engineering in a cookbook format.</t>
  </si>
  <si>
    <t>Python Testing Cookbook (2nd Edition)</t>
  </si>
  <si>
    <t>2024-02-26</t>
  </si>
  <si>
    <t>Useful. It's a long list of testing techniques and Python tools to perform them. Good to have all collected in the same book.</t>
  </si>
  <si>
    <t>Python Testing with pytest (2nd Edition)</t>
  </si>
  <si>
    <t>Useful. A well-written and comprehensive book about pytest.</t>
  </si>
  <si>
    <t>Python Packages</t>
  </si>
  <si>
    <t>Useful. Excellent book about the topic. It's well-written, comprehensive and pragmatic. It would become perfect by removing the repetitions.</t>
  </si>
  <si>
    <t>The Quick Guide to Prompt Engineering</t>
  </si>
  <si>
    <t>2024-05-19</t>
  </si>
  <si>
    <t>AI</t>
  </si>
  <si>
    <t>Useless. Extremely repetitive, the same content could have been written in 40 pages. No practical or hands-on knowledge, just obvious and superficial statements. Avoid.</t>
  </si>
  <si>
    <t>Writing AI Prompts For Dummies</t>
  </si>
  <si>
    <t>Useless. It's a list of online AI services and a soup of obvious statements. No hands-on knowledge.</t>
  </si>
  <si>
    <t>Product Management</t>
  </si>
  <si>
    <t>Unlocking The Secrets of Prompt Engineering</t>
  </si>
  <si>
    <t>2024-06-25</t>
  </si>
  <si>
    <t>Useful. Despite being a book published by Packt, it's reasonably well written, clear and structured, and not the usual copy&amp;paste of random blocks of text taken from the internet. It's not a masterpiece, but it contains a couple of use cases that stimulate your critical thinking.</t>
  </si>
  <si>
    <t>Useful. Concise and comprehensive book about product management and API development.</t>
  </si>
  <si>
    <t>Building an API Product</t>
  </si>
  <si>
    <t>Useful. Decent book, but as many published by Packt contains many repetitions and redundancy. It could be easily shrinked be 1/3 without losing content.</t>
  </si>
  <si>
    <t>The Kaggle Book</t>
  </si>
  <si>
    <t>2024-06-27</t>
  </si>
  <si>
    <t>Useless. No actionable knowledge, just a very wordy description of how Kaggle works, with a bunch of random data science theory blocks in the mix. [STOPPED 152]</t>
  </si>
  <si>
    <t>Microservice API</t>
  </si>
  <si>
    <t>2024-07-04</t>
  </si>
  <si>
    <t>Useful. It contains some useful bits of knowledge about FastAPI.</t>
  </si>
  <si>
    <t>Building and Delivering Microservices on AWS</t>
  </si>
  <si>
    <t>2024-07-09</t>
  </si>
  <si>
    <t>Useful. A soup of different topics as every Packt book, but it contains some actionable bits of knowledge.</t>
  </si>
  <si>
    <t>Better Python Code</t>
  </si>
  <si>
    <t>Useless. For the author of this book, writing "better" code is often equal to write terse and less readable code, just because according to him, it's more "pythonic" that way - i.e. enumerate() instead of for...range(len()).</t>
  </si>
  <si>
    <t>The Art of Leadership: Small Things, Done Well</t>
  </si>
  <si>
    <t>Useful. It contains soem good advices, but it's a very wordy and painful-to-read book. Its readability could be massively improved by adopting a recipe book layout and cut 4/5 of the content. If I want to read a novel, I buy a novel.</t>
  </si>
  <si>
    <t>Think One Team</t>
  </si>
  <si>
    <t>Useless. Very wordy and repetitive, the exact same content coulkd have been expressed in 50 pages. It contains very idealistic and unrealistic advices that purposely ignore human nature.</t>
  </si>
  <si>
    <t>Product Management In Practice (2nd Edition)</t>
  </si>
  <si>
    <t>2024-07-11</t>
  </si>
  <si>
    <t>Useful. Well written but very wordy, the exact same content could have been expressed in 50 pages.</t>
  </si>
  <si>
    <t>Software Requirements Essentials</t>
  </si>
  <si>
    <t>2024-07-13</t>
  </si>
  <si>
    <t>Useful. A valid book for beginners in product management.</t>
  </si>
  <si>
    <t>Senior Engineer Mindset</t>
  </si>
  <si>
    <t>Nordic APIs</t>
  </si>
  <si>
    <t>Useful. Nothing new, but a good summary written in a straight-to-the-point language.</t>
  </si>
  <si>
    <t>The Art of Crafting User Stories</t>
  </si>
  <si>
    <t>Useless. It's well written, but it's very repetitive. The same content could have been written in 1/3 of the pages. Packt's book lack of proper editing.</t>
  </si>
  <si>
    <t>Developing the API Mindset</t>
  </si>
  <si>
    <t>How To Successfully Market an API</t>
  </si>
  <si>
    <t>2024-07-14</t>
  </si>
  <si>
    <t>Useful. An ok summary about the topic.</t>
  </si>
  <si>
    <t>A Philosophy of Software Design</t>
  </si>
  <si>
    <t>2024-07-16</t>
  </si>
  <si>
    <t>Yaknyam Press</t>
  </si>
  <si>
    <t>Useful. Finally an author who writes about a topic using his own words and examples, and not by copy'n'paste. It's clear that the author has plenty of experience and critical thinking, and he used both to summarize all the root causes of complexity in software design.</t>
  </si>
  <si>
    <t>Expert Python Programming (4th Edition)</t>
  </si>
  <si>
    <t>2024-07-17</t>
  </si>
  <si>
    <t>Useful. It's repetitive and redundant, but it contains some pieces of knowledge that I didn't read in any other Python book so far.</t>
  </si>
  <si>
    <t>Modern Data Architectures with Python</t>
  </si>
  <si>
    <t>2024-07-18</t>
  </si>
  <si>
    <t>Useless. Random showcase of different technologies without telling any story.</t>
  </si>
  <si>
    <t>Cost-Effective Data Pipelines</t>
  </si>
  <si>
    <t>2024-07-19</t>
  </si>
  <si>
    <t>Useless. A soup of different technologies and concepts.</t>
  </si>
  <si>
    <t>Learn Enough Python To Be Dangerous</t>
  </si>
  <si>
    <t>2024-07-22</t>
  </si>
  <si>
    <t>Professional Python: Object-Oriented Approaches To Efficient Software Development</t>
  </si>
  <si>
    <t>Useless. A book for beginners that has nothing to do with the term "professional", and with an awfully colored layout that it's very difficult to read. One positive aspect: it contains concise code examples to illustrate design patterns in Python.</t>
  </si>
  <si>
    <t>The Pythonic Way</t>
  </si>
  <si>
    <t>2024-07-23</t>
  </si>
  <si>
    <t>Useful. This book follows an approach very unique and personal to talk about Python. The author built the book around PEP documents and other conventions. On the contrary to dozens of Python books, this contains original content.</t>
  </si>
  <si>
    <t>LangChain: A Hands-On Guide To Modern AI Applications</t>
  </si>
  <si>
    <t>Useful. A short introduction about Langchain.</t>
  </si>
  <si>
    <t>Data Analysis: A Gentle Introduction For Future Data Scientists</t>
  </si>
  <si>
    <t>Useful. This book starts well, but then it loses itself into too much theory and no practical examples.</t>
  </si>
  <si>
    <t>The Creative Programmer</t>
  </si>
  <si>
    <t>Useless. Well written, but the author didn't write any original content, but just listed theories and concepts written by others. This book is below the Manning's average rate.</t>
  </si>
  <si>
    <t>NixOS &amp; Flakes Book v0.4.3</t>
  </si>
  <si>
    <t>Useful. It's an amateur book, but it's the first one available about NixOS, therefore we apprecciate the author's effort. The book contains some useful hints, but it's also a bit repetitive and in need of some editing.</t>
  </si>
  <si>
    <t>NixOS in Production</t>
  </si>
  <si>
    <t>2024-07-26</t>
  </si>
  <si>
    <t>2024-08-01</t>
  </si>
  <si>
    <t>Useless. It focalizes on the internals of Nix modules and on how to deploy NixOS to AWS.</t>
  </si>
  <si>
    <t>Building Data-Driven Applications with LLamaIndex</t>
  </si>
  <si>
    <t>2024-08-11</t>
  </si>
  <si>
    <t>Useful. It's definitely the most comprehensive book about RAG I read so far and it covers everything you need in depth. As every Packt book would require some editing and restructuring, because it tends to be repetitive and caotic.</t>
  </si>
  <si>
    <t>The Well-Grounded Python Developer</t>
  </si>
  <si>
    <t>Useful. It contains some useful bits of information, but the use of a bigger font instead of bold face to make important words to "pop" is massively annoying and it makes the reading experience a pain.</t>
  </si>
  <si>
    <t>Crafting Test-Driven Software with Python</t>
  </si>
  <si>
    <t>2024-11-05</t>
  </si>
  <si>
    <t>Useful. To be a Packt book, it's quite well written and edited.</t>
  </si>
  <si>
    <t>Data-Oriented Programming</t>
  </si>
  <si>
    <t>Useful. This book is very hard to read due of the author abusing of diagrams and dialogues among fictional characters in every page. Without all this cumbersome and useless cognitive overhead, the book could have been reduced from 436 pages to around 80 without loss of knowledge. The good thing instead is that we finally have a book that collects all the relevant information about DOP in a single place.</t>
  </si>
  <si>
    <t>Useless. It couples the (brief) insights in the principles of the clean architecture with a lot of TDD boilerplate code that unnecessarely increases the cognitive load of the book. This writing approach is indeed personal and original, but not practical, because it requires the reader to surf thru a lot of noise to get to the melody.</t>
  </si>
  <si>
    <t>Mastering Python Design Patterns (3rd Edition)</t>
  </si>
  <si>
    <t>2024-11-12</t>
  </si>
  <si>
    <t>Useless. In theory it's good to have a book about design patterns in Python for reference, but inpractice most of them applied to Python look quite cumbersome compared to other languages (C#, Java). Design patterns are intended for more OOP-friendly languages.</t>
  </si>
  <si>
    <t>Hacking APIs</t>
  </si>
  <si>
    <t>2024-11-17</t>
  </si>
  <si>
    <t>Useful. Well written and good overview, but nothing revolutionary.</t>
  </si>
  <si>
    <t>Cybersecurity</t>
  </si>
  <si>
    <t>API Management (2nd Edition)</t>
  </si>
  <si>
    <t>Useless. Yet another totally impersonal book, a copy'n'paste list of theories and strategies, with some degree of redundancy. On the positive side, the layout relies upon a fair amount of bold face, which makes skimming useless content easier.</t>
  </si>
  <si>
    <t>Architecture Modernization</t>
  </si>
  <si>
    <t>Useful. The author collected many fragments of useful knowledge and created an organic and very personal path thru all of them. The book is very comprehensive and original, but it could feel too much dense of information for a beginner. It lacks of bold face, therefore it's difficult to skim redundant information. Good to read after "Building Great Software Engineering Teams".</t>
  </si>
  <si>
    <t>DevOps: A Journey From Microservices to Cloud-based Containerization</t>
  </si>
  <si>
    <t>River Publishers</t>
  </si>
  <si>
    <t>Useless. Ok book for beginners.</t>
  </si>
  <si>
    <t>Docker Deep Dive (2024 Edition)</t>
  </si>
  <si>
    <t>Useless. Ok overview for beginners.</t>
  </si>
  <si>
    <t>The Self-Taught Cloud Computing Engineer (1st Edition)</t>
  </si>
  <si>
    <t>Useless. Just a list of services offered by cloud providers.</t>
  </si>
  <si>
    <t>2024-11-18</t>
  </si>
  <si>
    <t>Product Roadmaps</t>
  </si>
  <si>
    <t>2024-11-19</t>
  </si>
  <si>
    <t>Useful. The most concise but comprehensive book about Product Management. In only 68 pages it equips the reader with a big baggage of actionable knowledge.</t>
  </si>
  <si>
    <t>Pandas for Everyone (2nd Edition)</t>
  </si>
  <si>
    <t>2024-11-24</t>
  </si>
  <si>
    <t>Useful. Well written and a fairly comprehensive book for beginners.</t>
  </si>
  <si>
    <t>Pandas Workout</t>
  </si>
  <si>
    <t>Useless. The cookbook-like approach is more convenient for the author than for the reader, because the constant context switching about the dataset used increases the cognitive load by a factor of 4x.</t>
  </si>
  <si>
    <t>Powerful Python</t>
  </si>
  <si>
    <t>Useless. A bag of basic knowledge and cumbersome of magic methods.</t>
  </si>
  <si>
    <t>Practical Python Backend Programming</t>
  </si>
  <si>
    <t>GitforGits</t>
  </si>
  <si>
    <t>Useless. Usual impersonal list of copy'n'paste knowledge.</t>
  </si>
  <si>
    <t>Hypermodern Python Tooling</t>
  </si>
  <si>
    <t>Useless. A bag of basic knowledge, nothing "hypermodern" about it.</t>
  </si>
  <si>
    <t>Testing in Python: Robust Automation for Professionals</t>
  </si>
  <si>
    <t>Useful. Very personal book, also if a bit repetitive. I particularly apprecciated the authors focus on Makefiles, code linting and code metrics.</t>
  </si>
  <si>
    <t>Modern Software Testing Techniques</t>
  </si>
  <si>
    <t>Useful. The first part of the book is very interesting and it provides original theoretical knowledge about testing, while in the second part the author go a bit mental.</t>
  </si>
  <si>
    <t>Better APIs: Quality, Stability, Observability</t>
  </si>
  <si>
    <t>2024-12-31</t>
  </si>
  <si>
    <t>Useless. It's personal, but it contains no original content. It's just the usual walkthrough thru well-known programming best practices.</t>
  </si>
  <si>
    <t>Mastering API Architecture</t>
  </si>
  <si>
    <t>Useless. Well written, but no original content.</t>
  </si>
  <si>
    <t>GitHub Actions in Action</t>
  </si>
  <si>
    <t>Useful. A good getting started book.</t>
  </si>
  <si>
    <t>Learning GitHub Actions</t>
  </si>
  <si>
    <t>2025-01-01</t>
  </si>
  <si>
    <t>Useless. Just an unemotional showcase of Github features.</t>
  </si>
  <si>
    <t>Gray Hat Python</t>
  </si>
  <si>
    <t>DuckDB In Action</t>
  </si>
  <si>
    <t>Useful. Very comprehensive introduction.</t>
  </si>
  <si>
    <t>2025-01-21</t>
  </si>
  <si>
    <t>DuckDB Up and Running</t>
  </si>
  <si>
    <t>2025-02-23</t>
  </si>
  <si>
    <t>Useful. Ok introduction for beginners.</t>
  </si>
  <si>
    <t>Getting Started with DuckDB</t>
  </si>
  <si>
    <t>2025-03-17</t>
  </si>
  <si>
    <t>Useful. Despite being a Packt book, it's not the usual copy'n'paste exercise, but it contains original knowledge. It may be beneficial to read again the paragraphs about sensor data visualizations.</t>
  </si>
  <si>
    <t>RESTful Web API Patterns &amp; Practices Cookbook</t>
  </si>
  <si>
    <t>Useless. Too much focused on hypermedia and boilerplate code, low-readibility due of recipe-based approach.</t>
  </si>
  <si>
    <t>Getting Real</t>
  </si>
  <si>
    <t>2025-03-18</t>
  </si>
  <si>
    <t>Useful. A product management book that thinks out of the box.</t>
  </si>
  <si>
    <t>Practical UI (2nd Edition)</t>
  </si>
  <si>
    <t>UX/UI</t>
  </si>
  <si>
    <t>Useful. This book could be even better by removing repetitions. A concept should be mentioned and explained only once, and not anticipated or spread around multiple sections.</t>
  </si>
  <si>
    <t>Software Architecture and Decision-Making</t>
  </si>
  <si>
    <t>2025-05-05</t>
  </si>
  <si>
    <t>Useless. Well written but no original knowledge.</t>
  </si>
  <si>
    <t>Kickstart Software Design Architecture</t>
  </si>
  <si>
    <t>Orange Education</t>
  </si>
  <si>
    <t>Principles of Software Architecture Modernization</t>
  </si>
  <si>
    <t>Useless. Very repetitive and it doesn't contain original knowledge.</t>
  </si>
  <si>
    <t>Product Management 101 Playbook</t>
  </si>
  <si>
    <t>Useless. Very basic, no original knowledge.</t>
  </si>
  <si>
    <t>Software Engineering At Google</t>
  </si>
  <si>
    <t>2025-05-06</t>
  </si>
  <si>
    <t>Useless. This book wasted 602 pages to state the obvious and the layout totally lacks of bold fonts, which makes skimming impossible.</t>
  </si>
  <si>
    <t>Why Programs Fail (2nd Edition)</t>
  </si>
  <si>
    <t>Useless. This book is a mix between a debugging guide for super-beginners and a hundreds page long mind masturbation about the topic.</t>
  </si>
  <si>
    <t>Getting Started with an Antinet Zettelkasten</t>
  </si>
  <si>
    <t>2025-05-15</t>
  </si>
  <si>
    <t>Useless. It's positive to have a book specifically about Antinets, but it should be more pragmatic. This one is a collection of rants and of "Please trust me on this" packaged in a funky layout.</t>
  </si>
  <si>
    <t>Web App Development Made Simple with Streamlit</t>
  </si>
  <si>
    <t>2025-05-16</t>
  </si>
  <si>
    <t>Useless. This book dedicates only few pages at the beginning about Streamlit, and then talks about random Python libraries for the rest of the book. Additionally, instead of using textual code listings, it shows them as screenshots with small font and black background, making them unreadable.</t>
  </si>
  <si>
    <t>UX Fundamentals for Non-UX Professionals</t>
  </si>
  <si>
    <t>2025-05-29</t>
  </si>
  <si>
    <t>Useful. It contains minimally useful advices, but it would be a better book if stripped down of all the random facts.</t>
  </si>
  <si>
    <t>Web Automation Testing Using Playwright</t>
  </si>
  <si>
    <t>2025-05-30</t>
  </si>
  <si>
    <t>Useful. Ok as a basic Getting Started guide, but nothing more. Due of all the repetitions and the redudancy, it could be shrinked by 75% without loss of information.</t>
  </si>
  <si>
    <t>Colorwise</t>
  </si>
  <si>
    <t>Useful. It contains some useful hints, but it's definitely not a breakthrough book.</t>
  </si>
  <si>
    <t>Ultimate Figma For UI/UX Design</t>
  </si>
  <si>
    <t>2025-06-06</t>
  </si>
  <si>
    <t>Useless. Just a list of Figma Features and random design principles as bullet points.</t>
  </si>
  <si>
    <t>English For Programmers</t>
  </si>
  <si>
    <t>2025-06-12</t>
  </si>
  <si>
    <t>Useful. A good idea and first iteration, hopefully additional iterations with more pages will come.</t>
  </si>
  <si>
    <t>Power Up Product Management</t>
  </si>
  <si>
    <t>Routledge</t>
  </si>
  <si>
    <t>Useful. Ok as a Getting Started book for beginners.</t>
  </si>
  <si>
    <t>2025-06-26</t>
  </si>
  <si>
    <t>Useful. Quite repetitive but ok as introductory book.</t>
  </si>
  <si>
    <t>Command Line Handbook</t>
  </si>
  <si>
    <t>2025-06-27</t>
  </si>
  <si>
    <t>Competing With Unicorns</t>
  </si>
  <si>
    <t>Useless. Not a bad book, but mostly for beginners.</t>
  </si>
  <si>
    <t>2025-07-03</t>
  </si>
  <si>
    <t>Developer Experience Unleashed</t>
  </si>
  <si>
    <t>Building LLMs for Production</t>
  </si>
  <si>
    <t>2025-07-11</t>
  </si>
  <si>
    <t>Useless. Well-written but painfully redundant - 80% of the content could be easily removed or summarized without loss of knowledge.</t>
  </si>
  <si>
    <t>Useless. Just a list of concepts and Python modules without any personality. Very boring.</t>
  </si>
  <si>
    <t>The Art of PostgreSQL (2nd Edition)</t>
  </si>
  <si>
    <t>2025-07-17</t>
  </si>
  <si>
    <t>Useless. A very unstructured book: perhaps there is a logic but it makes sense only in the author's mind. The selection of topics is very random and brings low value to the reader, and some frustration too.</t>
  </si>
  <si>
    <t>The Data Scientist's Toolkit</t>
  </si>
  <si>
    <t>2025-07-18</t>
  </si>
  <si>
    <t>Useful. An excellent showcase of less known Python libraries and techniques to solve several common problems. Very original approach and very concise writing.</t>
  </si>
  <si>
    <t>Clean Architecture with Python</t>
  </si>
  <si>
    <t>2025-08-08</t>
  </si>
  <si>
    <t>Useless. Well written and it does contain some original concepts.</t>
  </si>
  <si>
    <t>Head First C# (3rd Edition)</t>
  </si>
  <si>
    <t>Visual Studio 2015 Cookbook (2nd Edition)</t>
  </si>
  <si>
    <t>Fluent C#</t>
  </si>
  <si>
    <t>The Art Of Unit Testing With Examples In C# (2nd Edition)</t>
  </si>
  <si>
    <t>Concurrency In C# Cookbook</t>
  </si>
  <si>
    <t>Multithreading In C# 5.0 Cookbook</t>
  </si>
  <si>
    <t>Useful. It contains some useful information, but looking at the title you would expect a book that illustrate all the Gang of Four's patterns in C#, instead it does for a couple of them and then starts talking about functional and reactive programming. The examples that the authors use have almost zero practical use and start from many useless assumptions - for ex. that you are looking for parallel execution-enabled snippets of code. As every Packt book I read so far, also this one has at least 40-50 pages (out of 284) of garbage pasted from Wikipedia or other sources just to make the book longer.</t>
  </si>
  <si>
    <t>Data Structures Succintly Part 2</t>
  </si>
  <si>
    <t>Web Scraping With Python (1st Edition)</t>
  </si>
  <si>
    <t>The Art of Unit Testing (2nd Edition)</t>
  </si>
  <si>
    <t>Patterns of Software: Tales from the Software Community</t>
  </si>
  <si>
    <t>Object-Oriented Re-Engineering Patterns</t>
  </si>
  <si>
    <t>Apprenticeship Patterns: Guidance for the Aspiring Software Craftsman</t>
  </si>
  <si>
    <t>Domain-Driven Design: Tackling Complexity in the Heart of Software</t>
  </si>
  <si>
    <t xml:space="preserve">Algorithms: An Illustrated Guide For Programmers And Other Curious People </t>
  </si>
  <si>
    <t>Xunit Test Patterns: Refactoring Test Code</t>
  </si>
  <si>
    <t>Pragmatic Unit Testing In C# With Nunit</t>
  </si>
  <si>
    <t>Object-Oriented Software Construction (2nd Edition)</t>
  </si>
  <si>
    <t>Cracking The Coding Interview (6th Edition)</t>
  </si>
  <si>
    <t>Useless. It contains some small useful bits, but mostly an useless book.</t>
  </si>
  <si>
    <t>2017-10-10</t>
  </si>
  <si>
    <t>Understanding Software</t>
  </si>
  <si>
    <t>2018-02-04</t>
  </si>
  <si>
    <t>Release It! Design and Deploy Production Ready Software</t>
  </si>
  <si>
    <t>Good Habits for Great Coding: Improving Programming Skills With Examples in Python</t>
  </si>
  <si>
    <t>2021-08-12</t>
  </si>
  <si>
    <t>Algorithms In A Nutshell</t>
  </si>
  <si>
    <t>API As A Product</t>
  </si>
  <si>
    <t>SQL Databases</t>
  </si>
  <si>
    <t>Continuous Delivery and DevOps, A Quickstart Guide</t>
  </si>
  <si>
    <t>Docker in Production, Lessons From The Trenches</t>
  </si>
  <si>
    <t>Docker In Action</t>
  </si>
  <si>
    <t>Docker In Practice</t>
  </si>
  <si>
    <t>Using Docker</t>
  </si>
  <si>
    <t>Postgres Succintly</t>
  </si>
  <si>
    <t>2025-08-14</t>
  </si>
  <si>
    <t>Useful. Well-written and straight to the point.</t>
  </si>
  <si>
    <t>Learning PostgreSQL</t>
  </si>
  <si>
    <t>2025-08-21</t>
  </si>
  <si>
    <t>Useful. Ok book, well written, no repetitions.</t>
  </si>
  <si>
    <t>The Design of Everyday Things</t>
  </si>
  <si>
    <t>Basic Books</t>
  </si>
  <si>
    <t>2025-11-13</t>
  </si>
  <si>
    <t>Useless. This is a classic design book but it's mostly a philosophical essay. If you are searching for same actionable advices, this is not the right book.</t>
  </si>
  <si>
    <t>Normal UI</t>
  </si>
  <si>
    <t>Useful. Really original, clear, concise book about UI-related workflows.</t>
  </si>
  <si>
    <t>Retrieval-Augmented Generation</t>
  </si>
  <si>
    <t>2025-11-14</t>
  </si>
  <si>
    <t>Useless. Just a list of types of RAG systems with a short description. A very impersonal book.</t>
  </si>
  <si>
    <t>Rapid Product Development With n8n</t>
  </si>
  <si>
    <t>Useful. A decent introduction to n8n.</t>
  </si>
  <si>
    <t>RAG-Driven Generative AI</t>
  </si>
  <si>
    <t>Useless. Very confusing book structure, continuosly jumping back and forth concepts, zero linearity, usual Packt book published without any editing.</t>
  </si>
  <si>
    <t>RAG With Python Cookbook (Early Release)</t>
  </si>
  <si>
    <t>2025-11-15</t>
  </si>
  <si>
    <t>Useful. Very wellwritten, concise and linear.</t>
  </si>
  <si>
    <t>Hugging Face In Action</t>
  </si>
  <si>
    <t>2025-11-22</t>
  </si>
  <si>
    <t>Useful. It's very unstructured and repetitive, but it contains also some useful bits of information.</t>
  </si>
  <si>
    <t>Beginning XSLT And XPath: Transforming XML Documents And Data</t>
  </si>
  <si>
    <t>Self-Growth</t>
  </si>
  <si>
    <t>Data Warehousing &amp; BI</t>
  </si>
  <si>
    <t>SQL Server Analysis Services Succintly</t>
  </si>
  <si>
    <t>Connect</t>
  </si>
  <si>
    <t>2016-07-31</t>
  </si>
  <si>
    <t>Useful. Very good introductive book about experience marketing.</t>
  </si>
  <si>
    <t xml:space="preserve">Make: Electronics (2nd Edition) </t>
  </si>
  <si>
    <t>Maker Media Inc.</t>
  </si>
  <si>
    <t>Uncategorized</t>
  </si>
  <si>
    <t>An Introduction to Data Science</t>
  </si>
  <si>
    <t>2018-04-27</t>
  </si>
  <si>
    <t>SAGE Publications</t>
  </si>
  <si>
    <t>Data Analysis &amp; ML</t>
  </si>
  <si>
    <t>Confident Data Skills</t>
  </si>
  <si>
    <t>Data Science At The Command Line</t>
  </si>
  <si>
    <t>SAFe 5.0 Distilled</t>
  </si>
  <si>
    <t>Underlines</t>
  </si>
  <si>
    <t>Learning LangChain</t>
  </si>
  <si>
    <t>2026-05-26</t>
  </si>
  <si>
    <t>Useful. The first part of the book is about RAG, while the second one goes off-topic (multi-agent systems). Overall, an interesting book, well written and not repetitive.</t>
  </si>
  <si>
    <t xml:space="preserve">Software Testing with Generative AI </t>
  </si>
  <si>
    <t>Useless. It's a book full of very basic concepts such as prompting ChatGPT to get a generic testing plan. This book brings zero value to the reader.</t>
  </si>
  <si>
    <t>AI-Driven Software Testing</t>
  </si>
  <si>
    <t>Useless. Extremely repetitive and poorly edited book without any practical recipe but only lists of statements. Avoid.</t>
  </si>
  <si>
    <t>Taking Testing Seriously</t>
  </si>
  <si>
    <t>2026-05-28</t>
  </si>
  <si>
    <t>Useless. It's an essay about testing, full of empty statements that bring zero practical value to the reader. 661 pages of absolute void.</t>
  </si>
  <si>
    <t>97 Things Every Data Engineer Should Know</t>
  </si>
  <si>
    <t>Useless. It's a nice idea to have one article per contribution, but the content is quite obvious and a bit repetitive. No practical value.</t>
  </si>
  <si>
    <t>2026-05-31</t>
  </si>
  <si>
    <t>The Value Vector</t>
  </si>
  <si>
    <t>Useless. It's a book full of empty statements that brings zero personal and practical experience. Additionally, the fictional dialogues make the book very hard to read.</t>
  </si>
  <si>
    <t>Python Data Science Cookbook</t>
  </si>
  <si>
    <t>Useless. Few actionable recipes.</t>
  </si>
  <si>
    <t>Production Ready Data Science</t>
  </si>
  <si>
    <t>Useful. Still well written and easy to skim as her first book, but with way less original recipes and more beginner-oriented.</t>
  </si>
  <si>
    <t>Ubuntu System Administration Guide</t>
  </si>
  <si>
    <t>Useless. A list of basic commands and a book without personality.</t>
  </si>
  <si>
    <t>Github Copilot Step By Step</t>
  </si>
  <si>
    <t>Pearson</t>
  </si>
  <si>
    <t>Useless. Obvious concepts and low readibility layout.</t>
  </si>
  <si>
    <t>Atlassian DevOps Toolchain (1st Edition)</t>
  </si>
  <si>
    <t>Useless. Just a showcase of screenshots and possible integrations between Jira and third-party tools.</t>
  </si>
  <si>
    <t>AWS CDK In Practice</t>
  </si>
  <si>
    <t>Useless. This book would be more useful with examples easier to relate to, perhaps multi-language.</t>
  </si>
  <si>
    <t>Developing On AWS With C#</t>
  </si>
  <si>
    <t>Minimal APIs in ASP.NET 9 (2nd Edition)</t>
  </si>
  <si>
    <t>2026-06-02</t>
  </si>
  <si>
    <t>Useful. Clear and well written book.</t>
  </si>
  <si>
    <t>Learning Creative Coding (Version 1.0.1)</t>
  </si>
  <si>
    <t>2026-06-04</t>
  </si>
  <si>
    <t>Useless. The book is mostly motivational and the advanced users are not among the intended targets, but I do apprecciate the layout and the smooth writing style. It could be improved by making it less repetitive, at the end of the day all the chapters convey the same message.</t>
  </si>
  <si>
    <t>Natural Languange Processing With Python</t>
  </si>
  <si>
    <t>2026-06-07</t>
  </si>
  <si>
    <t>Useful. A well-written, smooth and comprehensive book about NLP for beginners. Python examples are simple and clear.</t>
  </si>
  <si>
    <t>The Ultimate Ubuntu Handbook</t>
  </si>
  <si>
    <t>Useful. Ok book for beginners.</t>
  </si>
  <si>
    <t>The Security Metrics Workbook</t>
  </si>
  <si>
    <t>Agentic AI Playbook</t>
  </si>
  <si>
    <t>2026-08-02</t>
  </si>
  <si>
    <t>Useful. A comprehensive introduction to the topic, clearly written and structured.</t>
  </si>
  <si>
    <t>Agentic Coding with Claude Code</t>
  </si>
  <si>
    <t>2026-08-07</t>
  </si>
  <si>
    <t>Useful. A quite valid introductory book about Claude Code and agentic architecture.</t>
  </si>
  <si>
    <t>Building CLI Applications With C# and .NET</t>
  </si>
  <si>
    <t>Useful. Comprehensive book for beginners. The author uses a lot of smileys, which I find unprofessional.</t>
  </si>
  <si>
    <t>AI Agents In Action</t>
  </si>
  <si>
    <t>2026-08-14</t>
  </si>
  <si>
    <t>Useless. The book doesn't contain much actionable knowledge but it roams around the topic offering code examples and diagrams of doubtful usefulness. The book lacks of an easy-to-scan layout (no bold faces). From Manning I do expect more quality.</t>
  </si>
  <si>
    <t>Building Applications with AI Agents</t>
  </si>
  <si>
    <t>From Zero To Pro With Claude AI</t>
  </si>
  <si>
    <t>2026-08-23</t>
  </si>
  <si>
    <t>Useful. Very dense and well-written book. It contains knowledge I didn't find elsewhere and it doesn't repeat itself. It lacks of bold fonts.</t>
  </si>
  <si>
    <t>Useless. A book for beginners written in a very repetitive and redundant style. Some content could be communicated in half amount of pages wit hno loss of information.</t>
  </si>
  <si>
    <t>Mindset</t>
  </si>
  <si>
    <t>2026-09-27</t>
  </si>
  <si>
    <t>Random House</t>
  </si>
  <si>
    <t>Useless. Verbose and redundant, it could be summarized in 15 pages without loss of content.</t>
  </si>
  <si>
    <t>TDD With Python</t>
  </si>
  <si>
    <t>Useless. The code snippets are in Spanish and the author doesn't explain a way to run unit tests automatically while the developers write code, which it's the basic of TDD.</t>
  </si>
  <si>
    <t>Laws of Software Engineering</t>
  </si>
  <si>
    <t>Useful. Very well written, concise, easy to scan. I didn't know the 70% of these laws, therefore I assume few software engineering books talk about them.</t>
  </si>
  <si>
    <t>Modern Software Engineering</t>
  </si>
  <si>
    <t>2026-09-28</t>
  </si>
  <si>
    <t>Useless. Ok as getting started guide, but nothing new for non-beginners.</t>
  </si>
  <si>
    <t>Software Design For Python Programmers</t>
  </si>
  <si>
    <t>Useless. Ok as getting started guide, but nothing new for non-beginners. The book is also hyper-dense of examples, which slow down the reading.</t>
  </si>
  <si>
    <t>Spec-Driven Development</t>
  </si>
  <si>
    <t>2026-10-02</t>
  </si>
  <si>
    <t>Useful. Ok to read as an opinion, but very repetitive.</t>
  </si>
  <si>
    <t>Vector Databases: A Practical Introduction</t>
  </si>
  <si>
    <t>2026-10-04</t>
  </si>
  <si>
    <t>Useful. The first part of the book is very concise, clearly explained, with simple examples and easy to scan. The first part captures perfectly the central role of vector databases in the AI world. The second part is just code examples and repetitions.</t>
  </si>
  <si>
    <t>The Forward Deployed Engineer</t>
  </si>
  <si>
    <t>2026-10-08</t>
  </si>
  <si>
    <t>Useful. Very redundant, 75 pages could have been summarized in two pages.</t>
  </si>
  <si>
    <t>The OpenClaw Bible</t>
  </si>
  <si>
    <t>Useless. It looks like written by AI. Lot of redundancy, lack of scannable layout.</t>
  </si>
  <si>
    <t>OpenClaw: The Complete Guide</t>
  </si>
  <si>
    <t>2026-10-09</t>
  </si>
  <si>
    <t>Useless. AI-slop book.</t>
  </si>
  <si>
    <t>OpenClaw: The Complete Guide v1.4.0</t>
  </si>
  <si>
    <t>2026-10-15</t>
  </si>
  <si>
    <t>Useful. Ok as getting started guide.</t>
  </si>
  <si>
    <t>The Architect's Paradox</t>
  </si>
  <si>
    <t>Useful. Apart from the very personal parallelism between philosophic concepts throught history and software architecture,  the book is well written and it delivers some useful opinions.</t>
  </si>
  <si>
    <t>Ontological Prisms</t>
  </si>
  <si>
    <t>Useless. The idea behind the book is interesting, but the implementation is awful. The book is extremely redundant and abstract, with no actionable insights for whom works with knowledge management and AI.</t>
  </si>
  <si>
    <t>Generative AI At The Edge</t>
  </si>
  <si>
    <t>2026-10-16</t>
  </si>
  <si>
    <t>Useful. Ok as getting started guide, a bit repetitive in the second half.</t>
  </si>
  <si>
    <t>Harness Engineering (Early Release)</t>
  </si>
  <si>
    <t>2026-10-17</t>
  </si>
  <si>
    <t>Useful. Ok as getting started guide. Code examples should be restructured and proposed in a progressive complexity fashion, instead of being thrown there out-of-the-blue.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</si>
</sst>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6" x14ac:knownFonts="1">
    <font>
      <sz val="11"/>
      <color theme="1"/>
      <name val="Calibri"/>
      <family val="2"/>
      <scheme val="minor"/>
    </font>
    <font>
      <sz val="9"/>
      <color theme="1"/>
      <name val="Calibri"/>
      <family val="2"/>
      <scheme val="minor"/>
    </font>
    <font>
      <b/>
      <sz val="9"/>
      <color theme="1"/>
      <name val="Calibri"/>
      <family val="2"/>
      <scheme val="minor"/>
    </font>
    <font>
      <sz val="9"/>
      <name val="Calibri"/>
      <family val="2"/>
      <scheme val="minor"/>
    </font>
    <font>
      <i/>
      <sz val="9"/>
      <color theme="1"/>
      <name val="Calibri"/>
      <family val="2"/>
      <scheme val="minor"/>
    </font>
    <font>
      <sz val="8"/>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9"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5">
    <xf numFmtId="0" fontId="0" fillId="0" borderId="0" xfId="0"/>
    <xf numFmtId="49" fontId="1" fillId="0" borderId="0" xfId="0" applyNumberFormat="1" applyFont="1" applyAlignment="1">
      <alignment horizontal="center"/>
    </xf>
    <xf numFmtId="1" fontId="1" fillId="0" borderId="0" xfId="0" applyNumberFormat="1" applyFont="1" applyAlignment="1">
      <alignment horizontal="center"/>
    </xf>
    <xf numFmtId="0" fontId="1" fillId="0" borderId="0" xfId="0" applyFont="1"/>
    <xf numFmtId="49" fontId="2" fillId="2" borderId="1" xfId="0" applyNumberFormat="1" applyFont="1" applyFill="1" applyBorder="1" applyAlignment="1">
      <alignment horizontal="left"/>
    </xf>
    <xf numFmtId="1" fontId="2" fillId="2"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1" fillId="0" borderId="1" xfId="0" applyNumberFormat="1" applyFont="1" applyBorder="1" applyAlignment="1">
      <alignment horizontal="left"/>
    </xf>
    <xf numFmtId="1" fontId="1" fillId="0" borderId="1" xfId="0" quotePrefix="1" applyNumberFormat="1" applyFont="1" applyBorder="1" applyAlignment="1">
      <alignment horizontal="center"/>
    </xf>
    <xf numFmtId="49" fontId="1" fillId="0" borderId="1" xfId="0" applyNumberFormat="1" applyFont="1" applyBorder="1" applyAlignment="1">
      <alignment horizontal="center"/>
    </xf>
    <xf numFmtId="1" fontId="1" fillId="0" borderId="1" xfId="0" applyNumberFormat="1" applyFont="1" applyBorder="1" applyAlignment="1">
      <alignment horizontal="center"/>
    </xf>
    <xf numFmtId="49" fontId="1" fillId="0" borderId="1" xfId="0" quotePrefix="1" applyNumberFormat="1" applyFont="1" applyBorder="1" applyAlignment="1">
      <alignment horizontal="center"/>
    </xf>
    <xf numFmtId="49" fontId="1" fillId="0" borderId="1" xfId="0" applyNumberFormat="1" applyFont="1" applyBorder="1" applyAlignment="1">
      <alignment horizontal="fill"/>
    </xf>
    <xf numFmtId="49" fontId="1" fillId="0" borderId="1" xfId="0" quotePrefix="1" applyNumberFormat="1" applyFont="1" applyBorder="1" applyAlignment="1">
      <alignment horizontal="left"/>
    </xf>
    <xf numFmtId="0" fontId="1" fillId="0" borderId="1" xfId="0" applyFont="1" applyBorder="1" applyAlignment="1">
      <alignment horizontal="center"/>
    </xf>
    <xf numFmtId="164" fontId="1" fillId="0" borderId="1" xfId="0" quotePrefix="1" applyNumberFormat="1" applyFont="1" applyBorder="1" applyAlignment="1">
      <alignment horizontal="center"/>
    </xf>
    <xf numFmtId="164" fontId="1" fillId="0" borderId="1" xfId="0" applyNumberFormat="1" applyFont="1" applyBorder="1" applyAlignment="1">
      <alignment horizontal="center"/>
    </xf>
    <xf numFmtId="0" fontId="3" fillId="0" borderId="1" xfId="0" applyFont="1" applyBorder="1" applyAlignment="1">
      <alignment horizontal="center" vertical="center"/>
    </xf>
    <xf numFmtId="0" fontId="2" fillId="3" borderId="1" xfId="0" applyFont="1" applyFill="1" applyBorder="1" applyAlignment="1">
      <alignment horizontal="center" vertical="center"/>
    </xf>
    <xf numFmtId="49" fontId="2" fillId="2" borderId="2" xfId="0" applyNumberFormat="1" applyFont="1" applyFill="1" applyBorder="1" applyAlignment="1">
      <alignment horizontal="left"/>
    </xf>
    <xf numFmtId="0" fontId="2" fillId="0" borderId="1" xfId="0" applyFont="1" applyBorder="1" applyAlignment="1">
      <alignment horizontal="center"/>
    </xf>
    <xf numFmtId="164" fontId="2" fillId="0" borderId="1" xfId="0" applyNumberFormat="1" applyFont="1" applyBorder="1" applyAlignment="1">
      <alignment horizontal="center"/>
    </xf>
    <xf numFmtId="49" fontId="1" fillId="0" borderId="1" xfId="0" applyNumberFormat="1" applyFont="1" applyBorder="1"/>
    <xf numFmtId="49" fontId="4" fillId="0" borderId="0" xfId="0" applyNumberFormat="1" applyFont="1" applyAlignment="1">
      <alignment horizontal="left"/>
    </xf>
    <xf numFmtId="1" fontId="4" fillId="0" borderId="0" xfId="0" applyNumberFormat="1" applyFont="1" applyAlignment="1">
      <alignment horizontal="center"/>
    </xf>
    <xf numFmtId="49" fontId="4" fillId="0" borderId="0" xfId="0" applyNumberFormat="1" applyFont="1" applyAlignment="1">
      <alignment horizontal="center"/>
    </xf>
    <xf numFmtId="0" fontId="4" fillId="0" borderId="0" xfId="0" applyFont="1" applyAlignment="1">
      <alignment horizontal="center"/>
    </xf>
    <xf numFmtId="49" fontId="4" fillId="0" borderId="0" xfId="0" quotePrefix="1" applyNumberFormat="1" applyFont="1" applyAlignment="1">
      <alignment horizontal="center"/>
    </xf>
    <xf numFmtId="1" fontId="4" fillId="0" borderId="0" xfId="0" quotePrefix="1" applyNumberFormat="1" applyFont="1" applyAlignment="1">
      <alignment horizontal="center"/>
    </xf>
    <xf numFmtId="164" fontId="4" fillId="0" borderId="0" xfId="0" quotePrefix="1" applyNumberFormat="1" applyFont="1" applyAlignment="1">
      <alignment horizontal="center"/>
    </xf>
    <xf numFmtId="49" fontId="1" fillId="0" borderId="0" xfId="0" applyNumberFormat="1" applyFont="1"/>
    <xf numFmtId="0" fontId="1" fillId="0" borderId="0" xfId="0" applyFont="1" applyAlignment="1">
      <alignment horizontal="center"/>
    </xf>
    <xf numFmtId="1" fontId="1" fillId="4" borderId="1" xfId="0" applyNumberFormat="1" applyFont="1" applyFill="1" applyBorder="1" applyAlignment="1">
      <alignment horizontal="center"/>
    </xf>
    <xf numFmtId="49" fontId="2" fillId="2" borderId="2" xfId="0" applyNumberFormat="1" applyFont="1" applyFill="1" applyBorder="1" applyAlignment="1">
      <alignment horizontal="center"/>
    </xf>
    <xf numFmtId="2" fontId="1" fillId="0" borderId="1" xfId="0" quotePrefix="1" applyNumberFormat="1" applyFont="1" applyBorder="1" applyAlignment="1">
      <alignment horizontal="center"/>
    </xf>
    <xf numFmtId="2" fontId="1" fillId="0" borderId="1" xfId="0" applyNumberFormat="1" applyFont="1" applyBorder="1" applyAlignment="1">
      <alignment horizontal="center"/>
    </xf>
    <xf numFmtId="2" fontId="1" fillId="0" borderId="1" xfId="0" applyNumberFormat="1" applyFont="1" applyBorder="1" applyAlignment="1">
      <alignment horizontal="center" wrapText="1"/>
    </xf>
    <xf numFmtId="49" fontId="1" fillId="0" borderId="1" xfId="0" quotePrefix="1" applyNumberFormat="1" applyFont="1" applyBorder="1"/>
    <xf numFmtId="49" fontId="1" fillId="0" borderId="1" xfId="0" applyNumberFormat="1" applyFont="1" applyBorder="1" applyAlignment="1">
      <alignment horizontal="left" wrapText="1"/>
    </xf>
    <xf numFmtId="49" fontId="1" fillId="0" borderId="0" xfId="0" applyNumberFormat="1" applyFont="1" applyAlignment="1">
      <alignment horizontal="left"/>
    </xf>
    <xf numFmtId="0" fontId="1" fillId="0" borderId="1" xfId="0" quotePrefix="1" applyFont="1" applyBorder="1" applyAlignment="1">
      <alignment horizontal="center"/>
    </xf>
    <xf numFmtId="0" fontId="3" fillId="0" borderId="1" xfId="0" applyFont="1" applyBorder="1" applyAlignment="1">
      <alignment horizontal="center"/>
    </xf>
    <xf numFmtId="0" fontId="2" fillId="5" borderId="3" xfId="0" applyFont="1" applyFill="1" applyBorder="1" applyAlignment="1">
      <alignment horizontal="center"/>
    </xf>
    <xf numFmtId="0" fontId="2" fillId="5" borderId="4" xfId="0" applyFont="1" applyFill="1" applyBorder="1" applyAlignment="1">
      <alignment horizontal="center"/>
    </xf>
    <xf numFmtId="0" fontId="1" fillId="0" borderId="1" xfId="0" applyNumberFormat="1" applyFont="1" applyBorder="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6"/>
  <sheetViews>
    <sheetView workbookViewId="0">
      <selection activeCell="G16" sqref="G16"/>
    </sheetView>
  </sheetViews>
  <sheetFormatPr defaultColWidth="8.85546875" defaultRowHeight="12" x14ac:dyDescent="0.2"/>
  <cols>
    <col min="1" max="16384" width="8.85546875" style="30"/>
  </cols>
  <sheetData>
    <row r="1" spans="1:8" ht="14.45" customHeight="1" x14ac:dyDescent="0.2">
      <c r="A1" s="42">
        <v>2016</v>
      </c>
      <c r="B1" s="42"/>
      <c r="C1" s="42"/>
      <c r="D1" s="42"/>
      <c r="E1" s="42"/>
      <c r="F1" s="42"/>
      <c r="G1" s="42"/>
      <c r="H1" s="43"/>
    </row>
    <row r="2" spans="1:8" x14ac:dyDescent="0.2">
      <c r="A2" s="18" t="s">
        <v>360</v>
      </c>
      <c r="B2" s="18" t="s">
        <v>365</v>
      </c>
      <c r="C2" s="18" t="s">
        <v>366</v>
      </c>
      <c r="D2" s="18" t="s">
        <v>361</v>
      </c>
      <c r="E2" s="18" t="s">
        <v>574</v>
      </c>
      <c r="F2" s="18" t="s">
        <v>573</v>
      </c>
      <c r="G2" s="18" t="s">
        <v>572</v>
      </c>
      <c r="H2" s="18" t="s">
        <v>575</v>
      </c>
    </row>
    <row r="3" spans="1:8" x14ac:dyDescent="0.2">
      <c r="A3" s="17">
        <v>1</v>
      </c>
      <c r="B3" s="14" t="e">
        <f ca="1" xml:space="preserve">
 COUNTIFS(
 INDIRECT(CONCATENATE("List!G$2:G$",#REF!)),
 $A$1,
 INDIRECT(CONCATENATE("List!H$2:H$",#REF!)),
 $A3,
 INDIRECT(CONCATENATE("List!C$2:C$",#REF!)),#REF!)</f>
        <v>#REF!</v>
      </c>
      <c r="C3" s="14" t="e">
        <f ca="1" xml:space="preserve">
 COUNTIFS(
 INDIRECT(CONCATENATE("List!G$2:G$",#REF!)),
 $A$1,
 INDIRECT(CONCATENATE("List!H$2:H$",#REF!)),
 $A3,
 INDIRECT(CONCATENATE("List!C$2:C$",#REF!)),#REF!)</f>
        <v>#REF!</v>
      </c>
      <c r="D3" s="14" t="e">
        <f ca="1">SUM(B3,C3)</f>
        <v>#REF!</v>
      </c>
      <c r="E3" s="14" t="e">
        <f ca="1" xml:space="preserve">
SUMIFS(
INDIRECT(CONCATENATE("List!E$2:E$",#REF!)),
INDIRECT(CONCATENATE("List!G$2:G$",#REF!)),
$A$1,
INDIRECT(CONCATENATE("List!H$2:H$",#REF!)),
$A3,
INDIRECT(CONCATENATE("List!C$2:C$",#REF!)),#REF!)</f>
        <v>#REF!</v>
      </c>
      <c r="F3" s="14" t="e">
        <f ca="1" xml:space="preserve">
SUMIFS(
INDIRECT(CONCATENATE("List!E$2:E$",#REF!)),
INDIRECT(CONCATENATE("List!G$2:G$",#REF!)),
$A$1,
INDIRECT(CONCATENATE("List!H$2:H$",#REF!)),
$A3,
INDIRECT(CONCATENATE("List!C$2:C$",#REF!)),#REF!)</f>
        <v>#REF!</v>
      </c>
      <c r="G3" s="14" t="e">
        <f ca="1">SUM(E3,F3)</f>
        <v>#REF!</v>
      </c>
      <c r="H3" s="16" t="e">
        <f ca="1" xml:space="preserve">
SUMIFS(
INDIRECT(CONCATENATE("List!M$2:M$",#REF!)),
INDIRECT(CONCATENATE("List!G$2:G$",#REF!)),
$A$1,
INDIRECT(CONCATENATE("List!H$2:H$",#REF!)),
$A3,
INDIRECT(CONCATENATE("List!C$2:C$",#REF!)),#REF!)</f>
        <v>#REF!</v>
      </c>
    </row>
    <row r="4" spans="1:8" x14ac:dyDescent="0.2">
      <c r="A4" s="17">
        <v>2</v>
      </c>
      <c r="B4" s="14" t="e">
        <f ca="1" xml:space="preserve">
 COUNTIFS(
 INDIRECT(CONCATENATE("List!G$2:G$",#REF!)),
 $A$1,
 INDIRECT(CONCATENATE("List!H$2:H$",#REF!)),
 $A4,
 INDIRECT(CONCATENATE("List!C$2:C$",#REF!)),#REF!)</f>
        <v>#REF!</v>
      </c>
      <c r="C4" s="14" t="e">
        <f ca="1" xml:space="preserve">
 COUNTIFS(
 INDIRECT(CONCATENATE("List!G$2:G$",#REF!)),
 $A$1,
 INDIRECT(CONCATENATE("List!H$2:H$",#REF!)),
 $A4,
 INDIRECT(CONCATENATE("List!C$2:C$",#REF!)),#REF!)</f>
        <v>#REF!</v>
      </c>
      <c r="D4" s="14" t="e">
        <f t="shared" ref="D4:D14" ca="1" si="0">SUM(B4,C4)</f>
        <v>#REF!</v>
      </c>
      <c r="E4" s="14" t="e">
        <f ca="1" xml:space="preserve">
SUMIFS(
INDIRECT(CONCATENATE("List!E$2:E$",#REF!)),
INDIRECT(CONCATENATE("List!G$2:G$",#REF!)),
$A$1,
INDIRECT(CONCATENATE("List!H$2:H$",#REF!)),
$A4,
INDIRECT(CONCATENATE("List!C$2:C$",#REF!)),#REF!)</f>
        <v>#REF!</v>
      </c>
      <c r="F4" s="14" t="e">
        <f ca="1" xml:space="preserve">
SUMIFS(
INDIRECT(CONCATENATE("List!E$2:E$",#REF!)),
INDIRECT(CONCATENATE("List!G$2:G$",#REF!)),
$A$1,
INDIRECT(CONCATENATE("List!H$2:H$",#REF!)),
$A4,
INDIRECT(CONCATENATE("List!C$2:C$",#REF!)),#REF!)</f>
        <v>#REF!</v>
      </c>
      <c r="G4" s="14" t="e">
        <f t="shared" ref="G4:G14" ca="1" si="1">SUM(E4,F4)</f>
        <v>#REF!</v>
      </c>
      <c r="H4" s="16" t="e">
        <f ca="1" xml:space="preserve">
SUMIFS(
INDIRECT(CONCATENATE("List!M$2:M$",#REF!)),
INDIRECT(CONCATENATE("List!G$2:G$",#REF!)),
$A$1,
INDIRECT(CONCATENATE("List!H$2:H$",#REF!)),
$A4,
INDIRECT(CONCATENATE("List!C$2:C$",#REF!)),#REF!)</f>
        <v>#REF!</v>
      </c>
    </row>
    <row r="5" spans="1:8" x14ac:dyDescent="0.2">
      <c r="A5" s="17">
        <v>3</v>
      </c>
      <c r="B5" s="14" t="e">
        <f ca="1" xml:space="preserve">
 COUNTIFS(
 INDIRECT(CONCATENATE("List!G$2:G$",#REF!)),
 $A$1,
 INDIRECT(CONCATENATE("List!H$2:H$",#REF!)),
 $A5,
 INDIRECT(CONCATENATE("List!C$2:C$",#REF!)),#REF!)</f>
        <v>#REF!</v>
      </c>
      <c r="C5" s="14" t="e">
        <f ca="1" xml:space="preserve">
 COUNTIFS(
 INDIRECT(CONCATENATE("List!G$2:G$",#REF!)),
 $A$1,
 INDIRECT(CONCATENATE("List!H$2:H$",#REF!)),
 $A5,
 INDIRECT(CONCATENATE("List!C$2:C$",#REF!)),#REF!)</f>
        <v>#REF!</v>
      </c>
      <c r="D5" s="14" t="e">
        <f t="shared" ca="1" si="0"/>
        <v>#REF!</v>
      </c>
      <c r="E5" s="14" t="e">
        <f ca="1" xml:space="preserve">
SUMIFS(
INDIRECT(CONCATENATE("List!E$2:E$",#REF!)),
INDIRECT(CONCATENATE("List!G$2:G$",#REF!)),
$A$1,
INDIRECT(CONCATENATE("List!H$2:H$",#REF!)),
$A5,
INDIRECT(CONCATENATE("List!C$2:C$",#REF!)),#REF!)</f>
        <v>#REF!</v>
      </c>
      <c r="F5" s="14" t="e">
        <f ca="1" xml:space="preserve">
SUMIFS(
INDIRECT(CONCATENATE("List!E$2:E$",#REF!)),
INDIRECT(CONCATENATE("List!G$2:G$",#REF!)),
$A$1,
INDIRECT(CONCATENATE("List!H$2:H$",#REF!)),
$A5,
INDIRECT(CONCATENATE("List!C$2:C$",#REF!)),#REF!)</f>
        <v>#REF!</v>
      </c>
      <c r="G5" s="14" t="e">
        <f t="shared" ca="1" si="1"/>
        <v>#REF!</v>
      </c>
      <c r="H5" s="16" t="e">
        <f ca="1" xml:space="preserve">
SUMIFS(
INDIRECT(CONCATENATE("List!M$2:M$",#REF!)),
INDIRECT(CONCATENATE("List!G$2:G$",#REF!)),
$A$1,
INDIRECT(CONCATENATE("List!H$2:H$",#REF!)),
$A5,
INDIRECT(CONCATENATE("List!C$2:C$",#REF!)),#REF!)</f>
        <v>#REF!</v>
      </c>
    </row>
    <row r="6" spans="1:8" x14ac:dyDescent="0.2">
      <c r="A6" s="17">
        <v>4</v>
      </c>
      <c r="B6" s="14" t="e">
        <f ca="1" xml:space="preserve">
 COUNTIFS(
 INDIRECT(CONCATENATE("List!G$2:G$",#REF!)),
 $A$1,
 INDIRECT(CONCATENATE("List!H$2:H$",#REF!)),
 $A6,
 INDIRECT(CONCATENATE("List!C$2:C$",#REF!)),#REF!)</f>
        <v>#REF!</v>
      </c>
      <c r="C6" s="14" t="e">
        <f ca="1" xml:space="preserve">
 COUNTIFS(
 INDIRECT(CONCATENATE("List!G$2:G$",#REF!)),
 $A$1,
 INDIRECT(CONCATENATE("List!H$2:H$",#REF!)),
 $A6,
 INDIRECT(CONCATENATE("List!C$2:C$",#REF!)),#REF!)</f>
        <v>#REF!</v>
      </c>
      <c r="D6" s="14" t="e">
        <f t="shared" ca="1" si="0"/>
        <v>#REF!</v>
      </c>
      <c r="E6" s="14" t="e">
        <f ca="1" xml:space="preserve">
SUMIFS(
INDIRECT(CONCATENATE("List!E$2:E$",#REF!)),
INDIRECT(CONCATENATE("List!G$2:G$",#REF!)),
$A$1,
INDIRECT(CONCATENATE("List!H$2:H$",#REF!)),
$A6,
INDIRECT(CONCATENATE("List!C$2:C$",#REF!)),#REF!)</f>
        <v>#REF!</v>
      </c>
      <c r="F6" s="14" t="e">
        <f ca="1" xml:space="preserve">
SUMIFS(
INDIRECT(CONCATENATE("List!E$2:E$",#REF!)),
INDIRECT(CONCATENATE("List!G$2:G$",#REF!)),
$A$1,
INDIRECT(CONCATENATE("List!H$2:H$",#REF!)),
$A6,
INDIRECT(CONCATENATE("List!C$2:C$",#REF!)),#REF!)</f>
        <v>#REF!</v>
      </c>
      <c r="G6" s="14" t="e">
        <f t="shared" ca="1" si="1"/>
        <v>#REF!</v>
      </c>
      <c r="H6" s="16" t="e">
        <f ca="1" xml:space="preserve">
SUMIFS(
INDIRECT(CONCATENATE("List!M$2:M$",#REF!)),
INDIRECT(CONCATENATE("List!G$2:G$",#REF!)),
$A$1,
INDIRECT(CONCATENATE("List!H$2:H$",#REF!)),
$A6,
INDIRECT(CONCATENATE("List!C$2:C$",#REF!)),#REF!)</f>
        <v>#REF!</v>
      </c>
    </row>
    <row r="7" spans="1:8" x14ac:dyDescent="0.2">
      <c r="A7" s="17">
        <v>5</v>
      </c>
      <c r="B7" s="14" t="e">
        <f ca="1" xml:space="preserve">
 COUNTIFS(
 INDIRECT(CONCATENATE("List!G$2:G$",#REF!)),
 $A$1,
 INDIRECT(CONCATENATE("List!H$2:H$",#REF!)),
 $A7,
 INDIRECT(CONCATENATE("List!C$2:C$",#REF!)),#REF!)</f>
        <v>#REF!</v>
      </c>
      <c r="C7" s="14" t="e">
        <f ca="1" xml:space="preserve">
 COUNTIFS(
 INDIRECT(CONCATENATE("List!G$2:G$",#REF!)),
 $A$1,
 INDIRECT(CONCATENATE("List!H$2:H$",#REF!)),
 $A7,
 INDIRECT(CONCATENATE("List!C$2:C$",#REF!)),#REF!)</f>
        <v>#REF!</v>
      </c>
      <c r="D7" s="14" t="e">
        <f t="shared" ca="1" si="0"/>
        <v>#REF!</v>
      </c>
      <c r="E7" s="14" t="e">
        <f ca="1" xml:space="preserve">
SUMIFS(
INDIRECT(CONCATENATE("List!E$2:E$",#REF!)),
INDIRECT(CONCATENATE("List!G$2:G$",#REF!)),
$A$1,
INDIRECT(CONCATENATE("List!H$2:H$",#REF!)),
$A7,
INDIRECT(CONCATENATE("List!C$2:C$",#REF!)),#REF!)</f>
        <v>#REF!</v>
      </c>
      <c r="F7" s="14" t="e">
        <f ca="1" xml:space="preserve">
SUMIFS(
INDIRECT(CONCATENATE("List!E$2:E$",#REF!)),
INDIRECT(CONCATENATE("List!G$2:G$",#REF!)),
$A$1,
INDIRECT(CONCATENATE("List!H$2:H$",#REF!)),
$A7,
INDIRECT(CONCATENATE("List!C$2:C$",#REF!)),#REF!)</f>
        <v>#REF!</v>
      </c>
      <c r="G7" s="14" t="e">
        <f t="shared" ca="1" si="1"/>
        <v>#REF!</v>
      </c>
      <c r="H7" s="16" t="e">
        <f ca="1" xml:space="preserve">
SUMIFS(
INDIRECT(CONCATENATE("List!M$2:M$",#REF!)),
INDIRECT(CONCATENATE("List!G$2:G$",#REF!)),
$A$1,
INDIRECT(CONCATENATE("List!H$2:H$",#REF!)),
$A7,
INDIRECT(CONCATENATE("List!C$2:C$",#REF!)),#REF!)</f>
        <v>#REF!</v>
      </c>
    </row>
    <row r="8" spans="1:8" x14ac:dyDescent="0.2">
      <c r="A8" s="17">
        <v>6</v>
      </c>
      <c r="B8" s="14" t="e">
        <f ca="1" xml:space="preserve">
 COUNTIFS(
 INDIRECT(CONCATENATE("List!G$2:G$",#REF!)),
 $A$1,
 INDIRECT(CONCATENATE("List!H$2:H$",#REF!)),
 $A8,
 INDIRECT(CONCATENATE("List!C$2:C$",#REF!)),#REF!)</f>
        <v>#REF!</v>
      </c>
      <c r="C8" s="14" t="e">
        <f ca="1" xml:space="preserve">
 COUNTIFS(
 INDIRECT(CONCATENATE("List!G$2:G$",#REF!)),
 $A$1,
 INDIRECT(CONCATENATE("List!H$2:H$",#REF!)),
 $A8,
 INDIRECT(CONCATENATE("List!C$2:C$",#REF!)),#REF!)</f>
        <v>#REF!</v>
      </c>
      <c r="D8" s="14" t="e">
        <f t="shared" ca="1" si="0"/>
        <v>#REF!</v>
      </c>
      <c r="E8" s="14" t="e">
        <f ca="1" xml:space="preserve">
SUMIFS(
INDIRECT(CONCATENATE("List!E$2:E$",#REF!)),
INDIRECT(CONCATENATE("List!G$2:G$",#REF!)),
$A$1,
INDIRECT(CONCATENATE("List!H$2:H$",#REF!)),
$A8,
INDIRECT(CONCATENATE("List!C$2:C$",#REF!)),#REF!)</f>
        <v>#REF!</v>
      </c>
      <c r="F8" s="14" t="e">
        <f ca="1" xml:space="preserve">
SUMIFS(
INDIRECT(CONCATENATE("List!E$2:E$",#REF!)),
INDIRECT(CONCATENATE("List!G$2:G$",#REF!)),
$A$1,
INDIRECT(CONCATENATE("List!H$2:H$",#REF!)),
$A8,
INDIRECT(CONCATENATE("List!C$2:C$",#REF!)),#REF!)</f>
        <v>#REF!</v>
      </c>
      <c r="G8" s="14" t="e">
        <f t="shared" ca="1" si="1"/>
        <v>#REF!</v>
      </c>
      <c r="H8" s="16" t="e">
        <f ca="1" xml:space="preserve">
SUMIFS(
INDIRECT(CONCATENATE("List!M$2:M$",#REF!)),
INDIRECT(CONCATENATE("List!G$2:G$",#REF!)),
$A$1,
INDIRECT(CONCATENATE("List!H$2:H$",#REF!)),
$A8,
INDIRECT(CONCATENATE("List!C$2:C$",#REF!)),#REF!)</f>
        <v>#REF!</v>
      </c>
    </row>
    <row r="9" spans="1:8" x14ac:dyDescent="0.2">
      <c r="A9" s="17">
        <v>7</v>
      </c>
      <c r="B9" s="14" t="e">
        <f ca="1" xml:space="preserve">
 COUNTIFS(
 INDIRECT(CONCATENATE("List!G$2:G$",#REF!)),
 $A$1,
 INDIRECT(CONCATENATE("List!H$2:H$",#REF!)),
 $A9,
 INDIRECT(CONCATENATE("List!C$2:C$",#REF!)),#REF!)</f>
        <v>#REF!</v>
      </c>
      <c r="C9" s="14" t="e">
        <f ca="1" xml:space="preserve">
 COUNTIFS(
 INDIRECT(CONCATENATE("List!G$2:G$",#REF!)),
 $A$1,
 INDIRECT(CONCATENATE("List!H$2:H$",#REF!)),
 $A9,
 INDIRECT(CONCATENATE("List!C$2:C$",#REF!)),#REF!)</f>
        <v>#REF!</v>
      </c>
      <c r="D9" s="14" t="e">
        <f t="shared" ca="1" si="0"/>
        <v>#REF!</v>
      </c>
      <c r="E9" s="14" t="e">
        <f ca="1" xml:space="preserve">
SUMIFS(
INDIRECT(CONCATENATE("List!E$2:E$",#REF!)),
INDIRECT(CONCATENATE("List!G$2:G$",#REF!)),
$A$1,
INDIRECT(CONCATENATE("List!H$2:H$",#REF!)),
$A9,
INDIRECT(CONCATENATE("List!C$2:C$",#REF!)),#REF!)</f>
        <v>#REF!</v>
      </c>
      <c r="F9" s="14" t="e">
        <f ca="1" xml:space="preserve">
SUMIFS(
INDIRECT(CONCATENATE("List!E$2:E$",#REF!)),
INDIRECT(CONCATENATE("List!G$2:G$",#REF!)),
$A$1,
INDIRECT(CONCATENATE("List!H$2:H$",#REF!)),
$A9,
INDIRECT(CONCATENATE("List!C$2:C$",#REF!)),#REF!)</f>
        <v>#REF!</v>
      </c>
      <c r="G9" s="14" t="e">
        <f t="shared" ca="1" si="1"/>
        <v>#REF!</v>
      </c>
      <c r="H9" s="16" t="e">
        <f ca="1" xml:space="preserve">
SUMIFS(
INDIRECT(CONCATENATE("List!M$2:M$",#REF!)),
INDIRECT(CONCATENATE("List!G$2:G$",#REF!)),
$A$1,
INDIRECT(CONCATENATE("List!H$2:H$",#REF!)),
$A9,
INDIRECT(CONCATENATE("List!C$2:C$",#REF!)),#REF!)</f>
        <v>#REF!</v>
      </c>
    </row>
    <row r="10" spans="1:8" x14ac:dyDescent="0.2">
      <c r="A10" s="17">
        <v>8</v>
      </c>
      <c r="B10" s="14" t="e">
        <f ca="1" xml:space="preserve">
 COUNTIFS(
 INDIRECT(CONCATENATE("List!G$2:G$",#REF!)),
 $A$1,
 INDIRECT(CONCATENATE("List!H$2:H$",#REF!)),
 $A10,
 INDIRECT(CONCATENATE("List!C$2:C$",#REF!)),#REF!)</f>
        <v>#REF!</v>
      </c>
      <c r="C10" s="14" t="e">
        <f ca="1" xml:space="preserve">
 COUNTIFS(
 INDIRECT(CONCATENATE("List!G$2:G$",#REF!)),
 $A$1,
 INDIRECT(CONCATENATE("List!H$2:H$",#REF!)),
 $A10,
 INDIRECT(CONCATENATE("List!C$2:C$",#REF!)),#REF!)</f>
        <v>#REF!</v>
      </c>
      <c r="D10" s="14" t="e">
        <f t="shared" ca="1" si="0"/>
        <v>#REF!</v>
      </c>
      <c r="E10" s="14" t="e">
        <f ca="1" xml:space="preserve">
SUMIFS(
INDIRECT(CONCATENATE("List!E$2:E$",#REF!)),
INDIRECT(CONCATENATE("List!G$2:G$",#REF!)),
$A$1,
INDIRECT(CONCATENATE("List!H$2:H$",#REF!)),
$A10,
INDIRECT(CONCATENATE("List!C$2:C$",#REF!)),#REF!)</f>
        <v>#REF!</v>
      </c>
      <c r="F10" s="14" t="e">
        <f ca="1" xml:space="preserve">
SUMIFS(
INDIRECT(CONCATENATE("List!E$2:E$",#REF!)),
INDIRECT(CONCATENATE("List!G$2:G$",#REF!)),
$A$1,
INDIRECT(CONCATENATE("List!H$2:H$",#REF!)),
$A10,
INDIRECT(CONCATENATE("List!C$2:C$",#REF!)),#REF!)</f>
        <v>#REF!</v>
      </c>
      <c r="G10" s="14" t="e">
        <f t="shared" ca="1" si="1"/>
        <v>#REF!</v>
      </c>
      <c r="H10" s="16" t="e">
        <f ca="1" xml:space="preserve">
SUMIFS(
INDIRECT(CONCATENATE("List!M$2:M$",#REF!)),
INDIRECT(CONCATENATE("List!G$2:G$",#REF!)),
$A$1,
INDIRECT(CONCATENATE("List!H$2:H$",#REF!)),
$A10,
INDIRECT(CONCATENATE("List!C$2:C$",#REF!)),#REF!)</f>
        <v>#REF!</v>
      </c>
    </row>
    <row r="11" spans="1:8" x14ac:dyDescent="0.2">
      <c r="A11" s="17">
        <v>9</v>
      </c>
      <c r="B11" s="14" t="e">
        <f ca="1" xml:space="preserve">
 COUNTIFS(
 INDIRECT(CONCATENATE("List!G$2:G$",#REF!)),
 $A$1,
 INDIRECT(CONCATENATE("List!H$2:H$",#REF!)),
 $A11,
 INDIRECT(CONCATENATE("List!C$2:C$",#REF!)),#REF!)</f>
        <v>#REF!</v>
      </c>
      <c r="C11" s="14" t="e">
        <f ca="1" xml:space="preserve">
 COUNTIFS(
 INDIRECT(CONCATENATE("List!G$2:G$",#REF!)),
 $A$1,
 INDIRECT(CONCATENATE("List!H$2:H$",#REF!)),
 $A11,
 INDIRECT(CONCATENATE("List!C$2:C$",#REF!)),#REF!)</f>
        <v>#REF!</v>
      </c>
      <c r="D11" s="14" t="e">
        <f t="shared" ca="1" si="0"/>
        <v>#REF!</v>
      </c>
      <c r="E11" s="14" t="e">
        <f ca="1" xml:space="preserve">
SUMIFS(
INDIRECT(CONCATENATE("List!E$2:E$",#REF!)),
INDIRECT(CONCATENATE("List!G$2:G$",#REF!)),
$A$1,
INDIRECT(CONCATENATE("List!H$2:H$",#REF!)),
$A11,
INDIRECT(CONCATENATE("List!C$2:C$",#REF!)),#REF!)</f>
        <v>#REF!</v>
      </c>
      <c r="F11" s="14" t="e">
        <f ca="1" xml:space="preserve">
SUMIFS(
INDIRECT(CONCATENATE("List!E$2:E$",#REF!)),
INDIRECT(CONCATENATE("List!G$2:G$",#REF!)),
$A$1,
INDIRECT(CONCATENATE("List!H$2:H$",#REF!)),
$A11,
INDIRECT(CONCATENATE("List!C$2:C$",#REF!)),#REF!)</f>
        <v>#REF!</v>
      </c>
      <c r="G11" s="14" t="e">
        <f t="shared" ca="1" si="1"/>
        <v>#REF!</v>
      </c>
      <c r="H11" s="16" t="e">
        <f ca="1" xml:space="preserve">
SUMIFS(
INDIRECT(CONCATENATE("List!M$2:M$",#REF!)),
INDIRECT(CONCATENATE("List!G$2:G$",#REF!)),
$A$1,
INDIRECT(CONCATENATE("List!H$2:H$",#REF!)),
$A11,
INDIRECT(CONCATENATE("List!C$2:C$",#REF!)),#REF!)</f>
        <v>#REF!</v>
      </c>
    </row>
    <row r="12" spans="1:8" x14ac:dyDescent="0.2">
      <c r="A12" s="17">
        <v>10</v>
      </c>
      <c r="B12" s="14" t="e">
        <f ca="1" xml:space="preserve">
 COUNTIFS(
 INDIRECT(CONCATENATE("List!G$2:G$",#REF!)),
 $A$1,
 INDIRECT(CONCATENATE("List!H$2:H$",#REF!)),
 $A12,
 INDIRECT(CONCATENATE("List!C$2:C$",#REF!)),#REF!)</f>
        <v>#REF!</v>
      </c>
      <c r="C12" s="14" t="e">
        <f ca="1" xml:space="preserve">
 COUNTIFS(
 INDIRECT(CONCATENATE("List!G$2:G$",#REF!)),
 $A$1,
 INDIRECT(CONCATENATE("List!H$2:H$",#REF!)),
 $A12,
 INDIRECT(CONCATENATE("List!C$2:C$",#REF!)),#REF!)</f>
        <v>#REF!</v>
      </c>
      <c r="D12" s="14" t="e">
        <f t="shared" ca="1" si="0"/>
        <v>#REF!</v>
      </c>
      <c r="E12" s="14" t="e">
        <f ca="1" xml:space="preserve">
SUMIFS(
INDIRECT(CONCATENATE("List!E$2:E$",#REF!)),
INDIRECT(CONCATENATE("List!G$2:G$",#REF!)),
$A$1,
INDIRECT(CONCATENATE("List!H$2:H$",#REF!)),
$A12,
INDIRECT(CONCATENATE("List!C$2:C$",#REF!)),#REF!)</f>
        <v>#REF!</v>
      </c>
      <c r="F12" s="14" t="e">
        <f ca="1" xml:space="preserve">
SUMIFS(
INDIRECT(CONCATENATE("List!E$2:E$",#REF!)),
INDIRECT(CONCATENATE("List!G$2:G$",#REF!)),
$A$1,
INDIRECT(CONCATENATE("List!H$2:H$",#REF!)),
$A12,
INDIRECT(CONCATENATE("List!C$2:C$",#REF!)),#REF!)</f>
        <v>#REF!</v>
      </c>
      <c r="G12" s="14" t="e">
        <f t="shared" ca="1" si="1"/>
        <v>#REF!</v>
      </c>
      <c r="H12" s="16" t="e">
        <f ca="1" xml:space="preserve">
SUMIFS(
INDIRECT(CONCATENATE("List!M$2:M$",#REF!)),
INDIRECT(CONCATENATE("List!G$2:G$",#REF!)),
$A$1,
INDIRECT(CONCATENATE("List!H$2:H$",#REF!)),
$A12,
INDIRECT(CONCATENATE("List!C$2:C$",#REF!)),#REF!)</f>
        <v>#REF!</v>
      </c>
    </row>
    <row r="13" spans="1:8" x14ac:dyDescent="0.2">
      <c r="A13" s="17">
        <v>11</v>
      </c>
      <c r="B13" s="14" t="e">
        <f ca="1" xml:space="preserve">
 COUNTIFS(
 INDIRECT(CONCATENATE("List!G$2:G$",#REF!)),
 $A$1,
 INDIRECT(CONCATENATE("List!H$2:H$",#REF!)),
 $A13,
 INDIRECT(CONCATENATE("List!C$2:C$",#REF!)),#REF!)</f>
        <v>#REF!</v>
      </c>
      <c r="C13" s="14" t="e">
        <f ca="1" xml:space="preserve">
 COUNTIFS(
 INDIRECT(CONCATENATE("List!G$2:G$",#REF!)),
 $A$1,
 INDIRECT(CONCATENATE("List!H$2:H$",#REF!)),
 $A13,
 INDIRECT(CONCATENATE("List!C$2:C$",#REF!)),#REF!)</f>
        <v>#REF!</v>
      </c>
      <c r="D13" s="14" t="e">
        <f t="shared" ca="1" si="0"/>
        <v>#REF!</v>
      </c>
      <c r="E13" s="14" t="e">
        <f ca="1" xml:space="preserve">
SUMIFS(
INDIRECT(CONCATENATE("List!E$2:E$",#REF!)),
INDIRECT(CONCATENATE("List!G$2:G$",#REF!)),
$A$1,
INDIRECT(CONCATENATE("List!H$2:H$",#REF!)),
$A13,
INDIRECT(CONCATENATE("List!C$2:C$",#REF!)),#REF!)</f>
        <v>#REF!</v>
      </c>
      <c r="F13" s="14" t="e">
        <f ca="1" xml:space="preserve">
SUMIFS(
INDIRECT(CONCATENATE("List!E$2:E$",#REF!)),
INDIRECT(CONCATENATE("List!G$2:G$",#REF!)),
$A$1,
INDIRECT(CONCATENATE("List!H$2:H$",#REF!)),
$A13,
INDIRECT(CONCATENATE("List!C$2:C$",#REF!)),#REF!)</f>
        <v>#REF!</v>
      </c>
      <c r="G13" s="14" t="e">
        <f t="shared" ca="1" si="1"/>
        <v>#REF!</v>
      </c>
      <c r="H13" s="16" t="e">
        <f ca="1" xml:space="preserve">
SUMIFS(
INDIRECT(CONCATENATE("List!M$2:M$",#REF!)),
INDIRECT(CONCATENATE("List!G$2:G$",#REF!)),
$A$1,
INDIRECT(CONCATENATE("List!H$2:H$",#REF!)),
$A13,
INDIRECT(CONCATENATE("List!C$2:C$",#REF!)),#REF!)</f>
        <v>#REF!</v>
      </c>
    </row>
    <row r="14" spans="1:8" x14ac:dyDescent="0.2">
      <c r="A14" s="17">
        <v>12</v>
      </c>
      <c r="B14" s="14" t="e">
        <f ca="1" xml:space="preserve">
 COUNTIFS(
 INDIRECT(CONCATENATE("List!G$2:G$",#REF!)),
 $A$1,
 INDIRECT(CONCATENATE("List!H$2:H$",#REF!)),
 $A14,
 INDIRECT(CONCATENATE("List!C$2:C$",#REF!)),#REF!)</f>
        <v>#REF!</v>
      </c>
      <c r="C14" s="14" t="e">
        <f ca="1" xml:space="preserve">
 COUNTIFS(
 INDIRECT(CONCATENATE("List!G$2:G$",#REF!)),
 $A$1,
 INDIRECT(CONCATENATE("List!H$2:H$",#REF!)),
 $A14,
 INDIRECT(CONCATENATE("List!C$2:C$",#REF!)),#REF!)</f>
        <v>#REF!</v>
      </c>
      <c r="D14" s="14" t="e">
        <f t="shared" ca="1" si="0"/>
        <v>#REF!</v>
      </c>
      <c r="E14" s="14" t="e">
        <f ca="1" xml:space="preserve">
SUMIFS(
INDIRECT(CONCATENATE("List!E$2:E$",#REF!)),
INDIRECT(CONCATENATE("List!G$2:G$",#REF!)),
$A$1,
INDIRECT(CONCATENATE("List!H$2:H$",#REF!)),
$A14,
INDIRECT(CONCATENATE("List!C$2:C$",#REF!)),#REF!)</f>
        <v>#REF!</v>
      </c>
      <c r="F14" s="14" t="e">
        <f ca="1" xml:space="preserve">
SUMIFS(
INDIRECT(CONCATENATE("List!E$2:E$",#REF!)),
INDIRECT(CONCATENATE("List!G$2:G$",#REF!)),
$A$1,
INDIRECT(CONCATENATE("List!H$2:H$",#REF!)),
$A14,
INDIRECT(CONCATENATE("List!C$2:C$",#REF!)),#REF!)</f>
        <v>#REF!</v>
      </c>
      <c r="G14" s="14" t="e">
        <f t="shared" ca="1" si="1"/>
        <v>#REF!</v>
      </c>
      <c r="H14" s="16" t="e">
        <f ca="1" xml:space="preserve">
SUMIFS(
INDIRECT(CONCATENATE("List!M$2:M$",#REF!)),
INDIRECT(CONCATENATE("List!G$2:G$",#REF!)),
$A$1,
INDIRECT(CONCATENATE("List!H$2:H$",#REF!)),
$A14,
INDIRECT(CONCATENATE("List!C$2:C$",#REF!)),#REF!)</f>
        <v>#REF!</v>
      </c>
    </row>
    <row r="15" spans="1:8" x14ac:dyDescent="0.2">
      <c r="A15" s="3"/>
      <c r="B15" s="3"/>
      <c r="C15" s="3"/>
      <c r="D15" s="3"/>
      <c r="E15" s="3"/>
      <c r="F15" s="3"/>
      <c r="G15" s="3"/>
      <c r="H15" s="3"/>
    </row>
    <row r="16" spans="1:8" x14ac:dyDescent="0.2">
      <c r="A16" s="18" t="s">
        <v>361</v>
      </c>
      <c r="B16" s="20" t="e">
        <f ca="1">SUM(B3:B14)</f>
        <v>#REF!</v>
      </c>
      <c r="C16" s="20" t="e">
        <f t="shared" ref="C16:H16" ca="1" si="2">SUM(C3:C14)</f>
        <v>#REF!</v>
      </c>
      <c r="D16" s="20" t="e">
        <f t="shared" ca="1" si="2"/>
        <v>#REF!</v>
      </c>
      <c r="E16" s="20" t="e">
        <f t="shared" ca="1" si="2"/>
        <v>#REF!</v>
      </c>
      <c r="F16" s="20" t="e">
        <f t="shared" ca="1" si="2"/>
        <v>#REF!</v>
      </c>
      <c r="G16" s="20" t="e">
        <f t="shared" ca="1" si="2"/>
        <v>#REF!</v>
      </c>
      <c r="H16" s="21" t="e">
        <f t="shared" ca="1" si="2"/>
        <v>#REF!</v>
      </c>
    </row>
  </sheetData>
  <mergeCells count="1">
    <mergeCell ref="A1:H1"/>
  </mergeCells>
  <conditionalFormatting sqref="B3:B14">
    <cfRule type="colorScale" priority="5">
      <colorScale>
        <cfvo type="min"/>
        <cfvo type="percentile" val="50"/>
        <cfvo type="max"/>
        <color rgb="FFF8696B"/>
        <color rgb="FFFFEB84"/>
        <color rgb="FF63BE7B"/>
      </colorScale>
    </cfRule>
  </conditionalFormatting>
  <conditionalFormatting sqref="C3:C14">
    <cfRule type="colorScale" priority="4">
      <colorScale>
        <cfvo type="min"/>
        <cfvo type="percentile" val="50"/>
        <cfvo type="max"/>
        <color rgb="FFF8696B"/>
        <color rgb="FFFFEB84"/>
        <color rgb="FF63BE7B"/>
      </colorScale>
    </cfRule>
  </conditionalFormatting>
  <conditionalFormatting sqref="E3:E14">
    <cfRule type="colorScale" priority="3">
      <colorScale>
        <cfvo type="min"/>
        <cfvo type="percentile" val="50"/>
        <cfvo type="max"/>
        <color rgb="FFF8696B"/>
        <color rgb="FFFFEB84"/>
        <color rgb="FF63BE7B"/>
      </colorScale>
    </cfRule>
  </conditionalFormatting>
  <conditionalFormatting sqref="F3:F14">
    <cfRule type="colorScale" priority="2">
      <colorScale>
        <cfvo type="min"/>
        <cfvo type="percentile" val="50"/>
        <cfvo type="max"/>
        <color rgb="FFF8696B"/>
        <color rgb="FFFFEB84"/>
        <color rgb="FF63BE7B"/>
      </colorScale>
    </cfRule>
  </conditionalFormatting>
  <conditionalFormatting sqref="H3:H1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H16"/>
  <sheetViews>
    <sheetView workbookViewId="0">
      <selection activeCell="F24" sqref="F24"/>
    </sheetView>
  </sheetViews>
  <sheetFormatPr defaultColWidth="8.85546875" defaultRowHeight="12" x14ac:dyDescent="0.2"/>
  <cols>
    <col min="1" max="16384" width="8.85546875" style="30"/>
  </cols>
  <sheetData>
    <row r="1" spans="1:8" ht="14.45" customHeight="1" x14ac:dyDescent="0.2">
      <c r="A1" s="42">
        <v>2017</v>
      </c>
      <c r="B1" s="42"/>
      <c r="C1" s="42"/>
      <c r="D1" s="42"/>
      <c r="E1" s="42"/>
      <c r="F1" s="42"/>
      <c r="G1" s="42"/>
      <c r="H1" s="43"/>
    </row>
    <row r="2" spans="1:8" x14ac:dyDescent="0.2">
      <c r="A2" s="18" t="s">
        <v>360</v>
      </c>
      <c r="B2" s="18" t="s">
        <v>365</v>
      </c>
      <c r="C2" s="18" t="s">
        <v>366</v>
      </c>
      <c r="D2" s="18" t="s">
        <v>361</v>
      </c>
      <c r="E2" s="18" t="s">
        <v>574</v>
      </c>
      <c r="F2" s="18" t="s">
        <v>573</v>
      </c>
      <c r="G2" s="18" t="s">
        <v>572</v>
      </c>
      <c r="H2" s="18" t="s">
        <v>575</v>
      </c>
    </row>
    <row r="3" spans="1:8" x14ac:dyDescent="0.2">
      <c r="A3" s="17">
        <v>1</v>
      </c>
      <c r="B3" s="14" t="e">
        <f ca="1" xml:space="preserve">
 COUNTIFS(
 INDIRECT(CONCATENATE("List!G$2:G$",#REF!)),
 $A$1,
 INDIRECT(CONCATENATE("List!H$2:H$",#REF!)),
 $A3,
 INDIRECT(CONCATENATE("List!C$2:C$",#REF!)),#REF!)</f>
        <v>#REF!</v>
      </c>
      <c r="C3" s="14" t="e">
        <f ca="1" xml:space="preserve">
 COUNTIFS(
 INDIRECT(CONCATENATE("List!G$2:G$",#REF!)),
 $A$1,
 INDIRECT(CONCATENATE("List!H$2:H$",#REF!)),
 $A3,
 INDIRECT(CONCATENATE("List!C$2:C$",#REF!)),#REF!)</f>
        <v>#REF!</v>
      </c>
      <c r="D3" s="14" t="e">
        <f ca="1">SUM(B3,C3)</f>
        <v>#REF!</v>
      </c>
      <c r="E3" s="14" t="e">
        <f ca="1" xml:space="preserve">
SUMIFS(
INDIRECT(CONCATENATE("List!E$2:E$",#REF!)),
INDIRECT(CONCATENATE("List!G$2:G$",#REF!)),
$A$1,
INDIRECT(CONCATENATE("List!H$2:H$",#REF!)),
$A3,
INDIRECT(CONCATENATE("List!C$2:C$",#REF!)),#REF!)</f>
        <v>#REF!</v>
      </c>
      <c r="F3" s="14" t="e">
        <f ca="1" xml:space="preserve">
SUMIFS(
INDIRECT(CONCATENATE("List!E$2:E$",#REF!)),
INDIRECT(CONCATENATE("List!G$2:G$",#REF!)),
$A$1,
INDIRECT(CONCATENATE("List!H$2:H$",#REF!)),
$A3,
INDIRECT(CONCATENATE("List!C$2:C$",#REF!)),#REF!)</f>
        <v>#REF!</v>
      </c>
      <c r="G3" s="14" t="e">
        <f ca="1">SUM(E3,F3)</f>
        <v>#REF!</v>
      </c>
      <c r="H3" s="16" t="e">
        <f ca="1" xml:space="preserve">
SUMIFS(
INDIRECT(CONCATENATE("List!M$2:M$",#REF!)),
INDIRECT(CONCATENATE("List!G$2:G$",#REF!)),
$A$1,
INDIRECT(CONCATENATE("List!H$2:H$",#REF!)),
$A3,
INDIRECT(CONCATENATE("List!C$2:C$",#REF!)),#REF!)</f>
        <v>#REF!</v>
      </c>
    </row>
    <row r="4" spans="1:8" x14ac:dyDescent="0.2">
      <c r="A4" s="17">
        <v>2</v>
      </c>
      <c r="B4" s="14" t="e">
        <f ca="1" xml:space="preserve">
 COUNTIFS(
 INDIRECT(CONCATENATE("List!G$2:G$",#REF!)),
 $A$1,
 INDIRECT(CONCATENATE("List!H$2:H$",#REF!)),
 $A4,
 INDIRECT(CONCATENATE("List!C$2:C$",#REF!)),#REF!)</f>
        <v>#REF!</v>
      </c>
      <c r="C4" s="14" t="e">
        <f ca="1" xml:space="preserve">
 COUNTIFS(
 INDIRECT(CONCATENATE("List!G$2:G$",#REF!)),
 $A$1,
 INDIRECT(CONCATENATE("List!H$2:H$",#REF!)),
 $A4,
 INDIRECT(CONCATENATE("List!C$2:C$",#REF!)),#REF!)</f>
        <v>#REF!</v>
      </c>
      <c r="D4" s="14" t="e">
        <f t="shared" ref="D4:D14" ca="1" si="0">SUM(B4,C4)</f>
        <v>#REF!</v>
      </c>
      <c r="E4" s="14" t="e">
        <f ca="1" xml:space="preserve">
SUMIFS(
INDIRECT(CONCATENATE("List!E$2:E$",#REF!)),
INDIRECT(CONCATENATE("List!G$2:G$",#REF!)),
$A$1,
INDIRECT(CONCATENATE("List!H$2:H$",#REF!)),
$A4,
INDIRECT(CONCATENATE("List!C$2:C$",#REF!)),#REF!)</f>
        <v>#REF!</v>
      </c>
      <c r="F4" s="14" t="e">
        <f ca="1" xml:space="preserve">
SUMIFS(
INDIRECT(CONCATENATE("List!E$2:E$",#REF!)),
INDIRECT(CONCATENATE("List!G$2:G$",#REF!)),
$A$1,
INDIRECT(CONCATENATE("List!H$2:H$",#REF!)),
$A4,
INDIRECT(CONCATENATE("List!C$2:C$",#REF!)),#REF!)</f>
        <v>#REF!</v>
      </c>
      <c r="G4" s="14" t="e">
        <f t="shared" ref="G4:G14" ca="1" si="1">SUM(E4,F4)</f>
        <v>#REF!</v>
      </c>
      <c r="H4" s="16" t="e">
        <f ca="1" xml:space="preserve">
SUMIFS(
INDIRECT(CONCATENATE("List!M$2:M$",#REF!)),
INDIRECT(CONCATENATE("List!G$2:G$",#REF!)),
$A$1,
INDIRECT(CONCATENATE("List!H$2:H$",#REF!)),
$A4,
INDIRECT(CONCATENATE("List!C$2:C$",#REF!)),#REF!)</f>
        <v>#REF!</v>
      </c>
    </row>
    <row r="5" spans="1:8" x14ac:dyDescent="0.2">
      <c r="A5" s="17">
        <v>3</v>
      </c>
      <c r="B5" s="14" t="e">
        <f ca="1" xml:space="preserve">
 COUNTIFS(
 INDIRECT(CONCATENATE("List!G$2:G$",#REF!)),
 $A$1,
 INDIRECT(CONCATENATE("List!H$2:H$",#REF!)),
 $A5,
 INDIRECT(CONCATENATE("List!C$2:C$",#REF!)),#REF!)</f>
        <v>#REF!</v>
      </c>
      <c r="C5" s="14" t="e">
        <f ca="1" xml:space="preserve">
 COUNTIFS(
 INDIRECT(CONCATENATE("List!G$2:G$",#REF!)),
 $A$1,
 INDIRECT(CONCATENATE("List!H$2:H$",#REF!)),
 $A5,
 INDIRECT(CONCATENATE("List!C$2:C$",#REF!)),#REF!)</f>
        <v>#REF!</v>
      </c>
      <c r="D5" s="14" t="e">
        <f t="shared" ca="1" si="0"/>
        <v>#REF!</v>
      </c>
      <c r="E5" s="14" t="e">
        <f ca="1" xml:space="preserve">
SUMIFS(
INDIRECT(CONCATENATE("List!E$2:E$",#REF!)),
INDIRECT(CONCATENATE("List!G$2:G$",#REF!)),
$A$1,
INDIRECT(CONCATENATE("List!H$2:H$",#REF!)),
$A5,
INDIRECT(CONCATENATE("List!C$2:C$",#REF!)),#REF!)</f>
        <v>#REF!</v>
      </c>
      <c r="F5" s="14" t="e">
        <f ca="1" xml:space="preserve">
SUMIFS(
INDIRECT(CONCATENATE("List!E$2:E$",#REF!)),
INDIRECT(CONCATENATE("List!G$2:G$",#REF!)),
$A$1,
INDIRECT(CONCATENATE("List!H$2:H$",#REF!)),
$A5,
INDIRECT(CONCATENATE("List!C$2:C$",#REF!)),#REF!)</f>
        <v>#REF!</v>
      </c>
      <c r="G5" s="14" t="e">
        <f t="shared" ca="1" si="1"/>
        <v>#REF!</v>
      </c>
      <c r="H5" s="16" t="e">
        <f ca="1" xml:space="preserve">
SUMIFS(
INDIRECT(CONCATENATE("List!M$2:M$",#REF!)),
INDIRECT(CONCATENATE("List!G$2:G$",#REF!)),
$A$1,
INDIRECT(CONCATENATE("List!H$2:H$",#REF!)),
$A5,
INDIRECT(CONCATENATE("List!C$2:C$",#REF!)),#REF!)</f>
        <v>#REF!</v>
      </c>
    </row>
    <row r="6" spans="1:8" x14ac:dyDescent="0.2">
      <c r="A6" s="17">
        <v>4</v>
      </c>
      <c r="B6" s="14" t="e">
        <f ca="1" xml:space="preserve">
 COUNTIFS(
 INDIRECT(CONCATENATE("List!G$2:G$",#REF!)),
 $A$1,
 INDIRECT(CONCATENATE("List!H$2:H$",#REF!)),
 $A6,
 INDIRECT(CONCATENATE("List!C$2:C$",#REF!)),#REF!)</f>
        <v>#REF!</v>
      </c>
      <c r="C6" s="14" t="e">
        <f ca="1" xml:space="preserve">
 COUNTIFS(
 INDIRECT(CONCATENATE("List!G$2:G$",#REF!)),
 $A$1,
 INDIRECT(CONCATENATE("List!H$2:H$",#REF!)),
 $A6,
 INDIRECT(CONCATENATE("List!C$2:C$",#REF!)),#REF!)</f>
        <v>#REF!</v>
      </c>
      <c r="D6" s="14" t="e">
        <f t="shared" ca="1" si="0"/>
        <v>#REF!</v>
      </c>
      <c r="E6" s="14" t="e">
        <f ca="1" xml:space="preserve">
SUMIFS(
INDIRECT(CONCATENATE("List!E$2:E$",#REF!)),
INDIRECT(CONCATENATE("List!G$2:G$",#REF!)),
$A$1,
INDIRECT(CONCATENATE("List!H$2:H$",#REF!)),
$A6,
INDIRECT(CONCATENATE("List!C$2:C$",#REF!)),#REF!)</f>
        <v>#REF!</v>
      </c>
      <c r="F6" s="14" t="e">
        <f ca="1" xml:space="preserve">
SUMIFS(
INDIRECT(CONCATENATE("List!E$2:E$",#REF!)),
INDIRECT(CONCATENATE("List!G$2:G$",#REF!)),
$A$1,
INDIRECT(CONCATENATE("List!H$2:H$",#REF!)),
$A6,
INDIRECT(CONCATENATE("List!C$2:C$",#REF!)),#REF!)</f>
        <v>#REF!</v>
      </c>
      <c r="G6" s="14" t="e">
        <f t="shared" ca="1" si="1"/>
        <v>#REF!</v>
      </c>
      <c r="H6" s="16" t="e">
        <f ca="1" xml:space="preserve">
SUMIFS(
INDIRECT(CONCATENATE("List!M$2:M$",#REF!)),
INDIRECT(CONCATENATE("List!G$2:G$",#REF!)),
$A$1,
INDIRECT(CONCATENATE("List!H$2:H$",#REF!)),
$A6,
INDIRECT(CONCATENATE("List!C$2:C$",#REF!)),#REF!)</f>
        <v>#REF!</v>
      </c>
    </row>
    <row r="7" spans="1:8" x14ac:dyDescent="0.2">
      <c r="A7" s="17">
        <v>5</v>
      </c>
      <c r="B7" s="14" t="e">
        <f ca="1" xml:space="preserve">
 COUNTIFS(
 INDIRECT(CONCATENATE("List!G$2:G$",#REF!)),
 $A$1,
 INDIRECT(CONCATENATE("List!H$2:H$",#REF!)),
 $A7,
 INDIRECT(CONCATENATE("List!C$2:C$",#REF!)),#REF!)</f>
        <v>#REF!</v>
      </c>
      <c r="C7" s="14" t="e">
        <f ca="1" xml:space="preserve">
 COUNTIFS(
 INDIRECT(CONCATENATE("List!G$2:G$",#REF!)),
 $A$1,
 INDIRECT(CONCATENATE("List!H$2:H$",#REF!)),
 $A7,
 INDIRECT(CONCATENATE("List!C$2:C$",#REF!)),#REF!)</f>
        <v>#REF!</v>
      </c>
      <c r="D7" s="14" t="e">
        <f t="shared" ca="1" si="0"/>
        <v>#REF!</v>
      </c>
      <c r="E7" s="14" t="e">
        <f ca="1" xml:space="preserve">
SUMIFS(
INDIRECT(CONCATENATE("List!E$2:E$",#REF!)),
INDIRECT(CONCATENATE("List!G$2:G$",#REF!)),
$A$1,
INDIRECT(CONCATENATE("List!H$2:H$",#REF!)),
$A7,
INDIRECT(CONCATENATE("List!C$2:C$",#REF!)),#REF!)</f>
        <v>#REF!</v>
      </c>
      <c r="F7" s="14" t="e">
        <f ca="1" xml:space="preserve">
SUMIFS(
INDIRECT(CONCATENATE("List!E$2:E$",#REF!)),
INDIRECT(CONCATENATE("List!G$2:G$",#REF!)),
$A$1,
INDIRECT(CONCATENATE("List!H$2:H$",#REF!)),
$A7,
INDIRECT(CONCATENATE("List!C$2:C$",#REF!)),#REF!)</f>
        <v>#REF!</v>
      </c>
      <c r="G7" s="14" t="e">
        <f t="shared" ca="1" si="1"/>
        <v>#REF!</v>
      </c>
      <c r="H7" s="16" t="e">
        <f ca="1" xml:space="preserve">
SUMIFS(
INDIRECT(CONCATENATE("List!M$2:M$",#REF!)),
INDIRECT(CONCATENATE("List!G$2:G$",#REF!)),
$A$1,
INDIRECT(CONCATENATE("List!H$2:H$",#REF!)),
$A7,
INDIRECT(CONCATENATE("List!C$2:C$",#REF!)),#REF!)</f>
        <v>#REF!</v>
      </c>
    </row>
    <row r="8" spans="1:8" x14ac:dyDescent="0.2">
      <c r="A8" s="17">
        <v>6</v>
      </c>
      <c r="B8" s="14" t="e">
        <f ca="1" xml:space="preserve">
 COUNTIFS(
 INDIRECT(CONCATENATE("List!G$2:G$",#REF!)),
 $A$1,
 INDIRECT(CONCATENATE("List!H$2:H$",#REF!)),
 $A8,
 INDIRECT(CONCATENATE("List!C$2:C$",#REF!)),#REF!)</f>
        <v>#REF!</v>
      </c>
      <c r="C8" s="14" t="e">
        <f ca="1" xml:space="preserve">
 COUNTIFS(
 INDIRECT(CONCATENATE("List!G$2:G$",#REF!)),
 $A$1,
 INDIRECT(CONCATENATE("List!H$2:H$",#REF!)),
 $A8,
 INDIRECT(CONCATENATE("List!C$2:C$",#REF!)),#REF!)</f>
        <v>#REF!</v>
      </c>
      <c r="D8" s="14" t="e">
        <f t="shared" ca="1" si="0"/>
        <v>#REF!</v>
      </c>
      <c r="E8" s="14" t="e">
        <f ca="1" xml:space="preserve">
SUMIFS(
INDIRECT(CONCATENATE("List!E$2:E$",#REF!)),
INDIRECT(CONCATENATE("List!G$2:G$",#REF!)),
$A$1,
INDIRECT(CONCATENATE("List!H$2:H$",#REF!)),
$A8,
INDIRECT(CONCATENATE("List!C$2:C$",#REF!)),#REF!)</f>
        <v>#REF!</v>
      </c>
      <c r="F8" s="14" t="e">
        <f ca="1" xml:space="preserve">
SUMIFS(
INDIRECT(CONCATENATE("List!E$2:E$",#REF!)),
INDIRECT(CONCATENATE("List!G$2:G$",#REF!)),
$A$1,
INDIRECT(CONCATENATE("List!H$2:H$",#REF!)),
$A8,
INDIRECT(CONCATENATE("List!C$2:C$",#REF!)),#REF!)</f>
        <v>#REF!</v>
      </c>
      <c r="G8" s="14" t="e">
        <f t="shared" ca="1" si="1"/>
        <v>#REF!</v>
      </c>
      <c r="H8" s="16" t="e">
        <f ca="1" xml:space="preserve">
SUMIFS(
INDIRECT(CONCATENATE("List!M$2:M$",#REF!)),
INDIRECT(CONCATENATE("List!G$2:G$",#REF!)),
$A$1,
INDIRECT(CONCATENATE("List!H$2:H$",#REF!)),
$A8,
INDIRECT(CONCATENATE("List!C$2:C$",#REF!)),#REF!)</f>
        <v>#REF!</v>
      </c>
    </row>
    <row r="9" spans="1:8" x14ac:dyDescent="0.2">
      <c r="A9" s="17">
        <v>7</v>
      </c>
      <c r="B9" s="14" t="e">
        <f ca="1" xml:space="preserve">
 COUNTIFS(
 INDIRECT(CONCATENATE("List!G$2:G$",#REF!)),
 $A$1,
 INDIRECT(CONCATENATE("List!H$2:H$",#REF!)),
 $A9,
 INDIRECT(CONCATENATE("List!C$2:C$",#REF!)),#REF!)</f>
        <v>#REF!</v>
      </c>
      <c r="C9" s="14" t="e">
        <f ca="1" xml:space="preserve">
 COUNTIFS(
 INDIRECT(CONCATENATE("List!G$2:G$",#REF!)),
 $A$1,
 INDIRECT(CONCATENATE("List!H$2:H$",#REF!)),
 $A9,
 INDIRECT(CONCATENATE("List!C$2:C$",#REF!)),#REF!)</f>
        <v>#REF!</v>
      </c>
      <c r="D9" s="14" t="e">
        <f t="shared" ca="1" si="0"/>
        <v>#REF!</v>
      </c>
      <c r="E9" s="14" t="e">
        <f ca="1" xml:space="preserve">
SUMIFS(
INDIRECT(CONCATENATE("List!E$2:E$",#REF!)),
INDIRECT(CONCATENATE("List!G$2:G$",#REF!)),
$A$1,
INDIRECT(CONCATENATE("List!H$2:H$",#REF!)),
$A9,
INDIRECT(CONCATENATE("List!C$2:C$",#REF!)),#REF!)</f>
        <v>#REF!</v>
      </c>
      <c r="F9" s="14" t="e">
        <f ca="1" xml:space="preserve">
SUMIFS(
INDIRECT(CONCATENATE("List!E$2:E$",#REF!)),
INDIRECT(CONCATENATE("List!G$2:G$",#REF!)),
$A$1,
INDIRECT(CONCATENATE("List!H$2:H$",#REF!)),
$A9,
INDIRECT(CONCATENATE("List!C$2:C$",#REF!)),#REF!)</f>
        <v>#REF!</v>
      </c>
      <c r="G9" s="14" t="e">
        <f t="shared" ca="1" si="1"/>
        <v>#REF!</v>
      </c>
      <c r="H9" s="16" t="e">
        <f ca="1" xml:space="preserve">
SUMIFS(
INDIRECT(CONCATENATE("List!M$2:M$",#REF!)),
INDIRECT(CONCATENATE("List!G$2:G$",#REF!)),
$A$1,
INDIRECT(CONCATENATE("List!H$2:H$",#REF!)),
$A9,
INDIRECT(CONCATENATE("List!C$2:C$",#REF!)),#REF!)</f>
        <v>#REF!</v>
      </c>
    </row>
    <row r="10" spans="1:8" x14ac:dyDescent="0.2">
      <c r="A10" s="17">
        <v>8</v>
      </c>
      <c r="B10" s="14" t="e">
        <f ca="1" xml:space="preserve">
 COUNTIFS(
 INDIRECT(CONCATENATE("List!G$2:G$",#REF!)),
 $A$1,
 INDIRECT(CONCATENATE("List!H$2:H$",#REF!)),
 $A10,
 INDIRECT(CONCATENATE("List!C$2:C$",#REF!)),#REF!)</f>
        <v>#REF!</v>
      </c>
      <c r="C10" s="14" t="e">
        <f ca="1" xml:space="preserve">
 COUNTIFS(
 INDIRECT(CONCATENATE("List!G$2:G$",#REF!)),
 $A$1,
 INDIRECT(CONCATENATE("List!H$2:H$",#REF!)),
 $A10,
 INDIRECT(CONCATENATE("List!C$2:C$",#REF!)),#REF!)</f>
        <v>#REF!</v>
      </c>
      <c r="D10" s="14" t="e">
        <f t="shared" ca="1" si="0"/>
        <v>#REF!</v>
      </c>
      <c r="E10" s="14" t="e">
        <f ca="1" xml:space="preserve">
SUMIFS(
INDIRECT(CONCATENATE("List!E$2:E$",#REF!)),
INDIRECT(CONCATENATE("List!G$2:G$",#REF!)),
$A$1,
INDIRECT(CONCATENATE("List!H$2:H$",#REF!)),
$A10,
INDIRECT(CONCATENATE("List!C$2:C$",#REF!)),#REF!)</f>
        <v>#REF!</v>
      </c>
      <c r="F10" s="14" t="e">
        <f ca="1" xml:space="preserve">
SUMIFS(
INDIRECT(CONCATENATE("List!E$2:E$",#REF!)),
INDIRECT(CONCATENATE("List!G$2:G$",#REF!)),
$A$1,
INDIRECT(CONCATENATE("List!H$2:H$",#REF!)),
$A10,
INDIRECT(CONCATENATE("List!C$2:C$",#REF!)),#REF!)</f>
        <v>#REF!</v>
      </c>
      <c r="G10" s="14" t="e">
        <f t="shared" ca="1" si="1"/>
        <v>#REF!</v>
      </c>
      <c r="H10" s="16" t="e">
        <f ca="1" xml:space="preserve">
SUMIFS(
INDIRECT(CONCATENATE("List!M$2:M$",#REF!)),
INDIRECT(CONCATENATE("List!G$2:G$",#REF!)),
$A$1,
INDIRECT(CONCATENATE("List!H$2:H$",#REF!)),
$A10,
INDIRECT(CONCATENATE("List!C$2:C$",#REF!)),#REF!)</f>
        <v>#REF!</v>
      </c>
    </row>
    <row r="11" spans="1:8" x14ac:dyDescent="0.2">
      <c r="A11" s="17">
        <v>9</v>
      </c>
      <c r="B11" s="14" t="e">
        <f ca="1" xml:space="preserve">
 COUNTIFS(
 INDIRECT(CONCATENATE("List!G$2:G$",#REF!)),
 $A$1,
 INDIRECT(CONCATENATE("List!H$2:H$",#REF!)),
 $A11,
 INDIRECT(CONCATENATE("List!C$2:C$",#REF!)),#REF!)</f>
        <v>#REF!</v>
      </c>
      <c r="C11" s="14" t="e">
        <f ca="1" xml:space="preserve">
 COUNTIFS(
 INDIRECT(CONCATENATE("List!G$2:G$",#REF!)),
 $A$1,
 INDIRECT(CONCATENATE("List!H$2:H$",#REF!)),
 $A11,
 INDIRECT(CONCATENATE("List!C$2:C$",#REF!)),#REF!)</f>
        <v>#REF!</v>
      </c>
      <c r="D11" s="14" t="e">
        <f t="shared" ca="1" si="0"/>
        <v>#REF!</v>
      </c>
      <c r="E11" s="14" t="e">
        <f ca="1" xml:space="preserve">
SUMIFS(
INDIRECT(CONCATENATE("List!E$2:E$",#REF!)),
INDIRECT(CONCATENATE("List!G$2:G$",#REF!)),
$A$1,
INDIRECT(CONCATENATE("List!H$2:H$",#REF!)),
$A11,
INDIRECT(CONCATENATE("List!C$2:C$",#REF!)),#REF!)</f>
        <v>#REF!</v>
      </c>
      <c r="F11" s="14" t="e">
        <f ca="1" xml:space="preserve">
SUMIFS(
INDIRECT(CONCATENATE("List!E$2:E$",#REF!)),
INDIRECT(CONCATENATE("List!G$2:G$",#REF!)),
$A$1,
INDIRECT(CONCATENATE("List!H$2:H$",#REF!)),
$A11,
INDIRECT(CONCATENATE("List!C$2:C$",#REF!)),#REF!)</f>
        <v>#REF!</v>
      </c>
      <c r="G11" s="14" t="e">
        <f t="shared" ca="1" si="1"/>
        <v>#REF!</v>
      </c>
      <c r="H11" s="16" t="e">
        <f ca="1" xml:space="preserve">
SUMIFS(
INDIRECT(CONCATENATE("List!M$2:M$",#REF!)),
INDIRECT(CONCATENATE("List!G$2:G$",#REF!)),
$A$1,
INDIRECT(CONCATENATE("List!H$2:H$",#REF!)),
$A11,
INDIRECT(CONCATENATE("List!C$2:C$",#REF!)),#REF!)</f>
        <v>#REF!</v>
      </c>
    </row>
    <row r="12" spans="1:8" x14ac:dyDescent="0.2">
      <c r="A12" s="17">
        <v>10</v>
      </c>
      <c r="B12" s="14" t="e">
        <f ca="1" xml:space="preserve">
 COUNTIFS(
 INDIRECT(CONCATENATE("List!G$2:G$",#REF!)),
 $A$1,
 INDIRECT(CONCATENATE("List!H$2:H$",#REF!)),
 $A12,
 INDIRECT(CONCATENATE("List!C$2:C$",#REF!)),#REF!)</f>
        <v>#REF!</v>
      </c>
      <c r="C12" s="14" t="e">
        <f ca="1" xml:space="preserve">
 COUNTIFS(
 INDIRECT(CONCATENATE("List!G$2:G$",#REF!)),
 $A$1,
 INDIRECT(CONCATENATE("List!H$2:H$",#REF!)),
 $A12,
 INDIRECT(CONCATENATE("List!C$2:C$",#REF!)),#REF!)</f>
        <v>#REF!</v>
      </c>
      <c r="D12" s="14" t="e">
        <f t="shared" ca="1" si="0"/>
        <v>#REF!</v>
      </c>
      <c r="E12" s="14" t="e">
        <f ca="1" xml:space="preserve">
SUMIFS(
INDIRECT(CONCATENATE("List!E$2:E$",#REF!)),
INDIRECT(CONCATENATE("List!G$2:G$",#REF!)),
$A$1,
INDIRECT(CONCATENATE("List!H$2:H$",#REF!)),
$A12,
INDIRECT(CONCATENATE("List!C$2:C$",#REF!)),#REF!)</f>
        <v>#REF!</v>
      </c>
      <c r="F12" s="14" t="e">
        <f ca="1" xml:space="preserve">
SUMIFS(
INDIRECT(CONCATENATE("List!E$2:E$",#REF!)),
INDIRECT(CONCATENATE("List!G$2:G$",#REF!)),
$A$1,
INDIRECT(CONCATENATE("List!H$2:H$",#REF!)),
$A12,
INDIRECT(CONCATENATE("List!C$2:C$",#REF!)),#REF!)</f>
        <v>#REF!</v>
      </c>
      <c r="G12" s="14" t="e">
        <f t="shared" ca="1" si="1"/>
        <v>#REF!</v>
      </c>
      <c r="H12" s="16" t="e">
        <f ca="1" xml:space="preserve">
SUMIFS(
INDIRECT(CONCATENATE("List!M$2:M$",#REF!)),
INDIRECT(CONCATENATE("List!G$2:G$",#REF!)),
$A$1,
INDIRECT(CONCATENATE("List!H$2:H$",#REF!)),
$A12,
INDIRECT(CONCATENATE("List!C$2:C$",#REF!)),#REF!)</f>
        <v>#REF!</v>
      </c>
    </row>
    <row r="13" spans="1:8" x14ac:dyDescent="0.2">
      <c r="A13" s="17">
        <v>11</v>
      </c>
      <c r="B13" s="14" t="e">
        <f ca="1" xml:space="preserve">
 COUNTIFS(
 INDIRECT(CONCATENATE("List!G$2:G$",#REF!)),
 $A$1,
 INDIRECT(CONCATENATE("List!H$2:H$",#REF!)),
 $A13,
 INDIRECT(CONCATENATE("List!C$2:C$",#REF!)),#REF!)</f>
        <v>#REF!</v>
      </c>
      <c r="C13" s="14" t="e">
        <f ca="1" xml:space="preserve">
 COUNTIFS(
 INDIRECT(CONCATENATE("List!G$2:G$",#REF!)),
 $A$1,
 INDIRECT(CONCATENATE("List!H$2:H$",#REF!)),
 $A13,
 INDIRECT(CONCATENATE("List!C$2:C$",#REF!)),#REF!)</f>
        <v>#REF!</v>
      </c>
      <c r="D13" s="14" t="e">
        <f t="shared" ca="1" si="0"/>
        <v>#REF!</v>
      </c>
      <c r="E13" s="14" t="e">
        <f ca="1" xml:space="preserve">
SUMIFS(
INDIRECT(CONCATENATE("List!E$2:E$",#REF!)),
INDIRECT(CONCATENATE("List!G$2:G$",#REF!)),
$A$1,
INDIRECT(CONCATENATE("List!H$2:H$",#REF!)),
$A13,
INDIRECT(CONCATENATE("List!C$2:C$",#REF!)),#REF!)</f>
        <v>#REF!</v>
      </c>
      <c r="F13" s="14" t="e">
        <f ca="1" xml:space="preserve">
SUMIFS(
INDIRECT(CONCATENATE("List!E$2:E$",#REF!)),
INDIRECT(CONCATENATE("List!G$2:G$",#REF!)),
$A$1,
INDIRECT(CONCATENATE("List!H$2:H$",#REF!)),
$A13,
INDIRECT(CONCATENATE("List!C$2:C$",#REF!)),#REF!)</f>
        <v>#REF!</v>
      </c>
      <c r="G13" s="14" t="e">
        <f t="shared" ca="1" si="1"/>
        <v>#REF!</v>
      </c>
      <c r="H13" s="16" t="e">
        <f ca="1" xml:space="preserve">
SUMIFS(
INDIRECT(CONCATENATE("List!M$2:M$",#REF!)),
INDIRECT(CONCATENATE("List!G$2:G$",#REF!)),
$A$1,
INDIRECT(CONCATENATE("List!H$2:H$",#REF!)),
$A13,
INDIRECT(CONCATENATE("List!C$2:C$",#REF!)),#REF!)</f>
        <v>#REF!</v>
      </c>
    </row>
    <row r="14" spans="1:8" x14ac:dyDescent="0.2">
      <c r="A14" s="17">
        <v>12</v>
      </c>
      <c r="B14" s="14" t="e">
        <f ca="1" xml:space="preserve">
 COUNTIFS(
 INDIRECT(CONCATENATE("List!G$2:G$",#REF!)),
 $A$1,
 INDIRECT(CONCATENATE("List!H$2:H$",#REF!)),
 $A14,
 INDIRECT(CONCATENATE("List!C$2:C$",#REF!)),#REF!)</f>
        <v>#REF!</v>
      </c>
      <c r="C14" s="14" t="e">
        <f ca="1" xml:space="preserve">
 COUNTIFS(
 INDIRECT(CONCATENATE("List!G$2:G$",#REF!)),
 $A$1,
 INDIRECT(CONCATENATE("List!H$2:H$",#REF!)),
 $A14,
 INDIRECT(CONCATENATE("List!C$2:C$",#REF!)),#REF!)</f>
        <v>#REF!</v>
      </c>
      <c r="D14" s="14" t="e">
        <f t="shared" ca="1" si="0"/>
        <v>#REF!</v>
      </c>
      <c r="E14" s="14" t="e">
        <f ca="1" xml:space="preserve">
SUMIFS(
INDIRECT(CONCATENATE("List!E$2:E$",#REF!)),
INDIRECT(CONCATENATE("List!G$2:G$",#REF!)),
$A$1,
INDIRECT(CONCATENATE("List!H$2:H$",#REF!)),
$A14,
INDIRECT(CONCATENATE("List!C$2:C$",#REF!)),#REF!)</f>
        <v>#REF!</v>
      </c>
      <c r="F14" s="14" t="e">
        <f ca="1" xml:space="preserve">
SUMIFS(
INDIRECT(CONCATENATE("List!E$2:E$",#REF!)),
INDIRECT(CONCATENATE("List!G$2:G$",#REF!)),
$A$1,
INDIRECT(CONCATENATE("List!H$2:H$",#REF!)),
$A14,
INDIRECT(CONCATENATE("List!C$2:C$",#REF!)),#REF!)</f>
        <v>#REF!</v>
      </c>
      <c r="G14" s="14" t="e">
        <f t="shared" ca="1" si="1"/>
        <v>#REF!</v>
      </c>
      <c r="H14" s="16" t="e">
        <f ca="1" xml:space="preserve">
SUMIFS(
INDIRECT(CONCATENATE("List!M$2:M$",#REF!)),
INDIRECT(CONCATENATE("List!G$2:G$",#REF!)),
$A$1,
INDIRECT(CONCATENATE("List!H$2:H$",#REF!)),
$A14,
INDIRECT(CONCATENATE("List!C$2:C$",#REF!)),#REF!)</f>
        <v>#REF!</v>
      </c>
    </row>
    <row r="15" spans="1:8" x14ac:dyDescent="0.2">
      <c r="A15" s="3"/>
      <c r="B15" s="3"/>
      <c r="C15" s="3"/>
      <c r="D15" s="3"/>
      <c r="E15" s="3"/>
      <c r="F15" s="3"/>
      <c r="G15" s="3"/>
      <c r="H15" s="3"/>
    </row>
    <row r="16" spans="1:8" x14ac:dyDescent="0.2">
      <c r="A16" s="18" t="s">
        <v>361</v>
      </c>
      <c r="B16" s="20" t="e">
        <f ca="1">SUM(B3:B14)</f>
        <v>#REF!</v>
      </c>
      <c r="C16" s="20" t="e">
        <f t="shared" ref="C16:H16" ca="1" si="2">SUM(C3:C14)</f>
        <v>#REF!</v>
      </c>
      <c r="D16" s="20" t="e">
        <f t="shared" ca="1" si="2"/>
        <v>#REF!</v>
      </c>
      <c r="E16" s="20" t="e">
        <f t="shared" ca="1" si="2"/>
        <v>#REF!</v>
      </c>
      <c r="F16" s="20" t="e">
        <f t="shared" ca="1" si="2"/>
        <v>#REF!</v>
      </c>
      <c r="G16" s="20" t="e">
        <f t="shared" ca="1" si="2"/>
        <v>#REF!</v>
      </c>
      <c r="H16" s="21" t="e">
        <f t="shared" ca="1" si="2"/>
        <v>#REF!</v>
      </c>
    </row>
  </sheetData>
  <mergeCells count="1">
    <mergeCell ref="A1:H1"/>
  </mergeCells>
  <conditionalFormatting sqref="B3:B14">
    <cfRule type="colorScale" priority="5">
      <colorScale>
        <cfvo type="min"/>
        <cfvo type="percentile" val="50"/>
        <cfvo type="max"/>
        <color rgb="FFF8696B"/>
        <color rgb="FFFFEB84"/>
        <color rgb="FF63BE7B"/>
      </colorScale>
    </cfRule>
  </conditionalFormatting>
  <conditionalFormatting sqref="C3:C14">
    <cfRule type="colorScale" priority="4">
      <colorScale>
        <cfvo type="min"/>
        <cfvo type="percentile" val="50"/>
        <cfvo type="max"/>
        <color rgb="FFF8696B"/>
        <color rgb="FFFFEB84"/>
        <color rgb="FF63BE7B"/>
      </colorScale>
    </cfRule>
  </conditionalFormatting>
  <conditionalFormatting sqref="E3:E14">
    <cfRule type="colorScale" priority="3">
      <colorScale>
        <cfvo type="min"/>
        <cfvo type="percentile" val="50"/>
        <cfvo type="max"/>
        <color rgb="FFF8696B"/>
        <color rgb="FFFFEB84"/>
        <color rgb="FF63BE7B"/>
      </colorScale>
    </cfRule>
  </conditionalFormatting>
  <conditionalFormatting sqref="F3:F14">
    <cfRule type="colorScale" priority="2">
      <colorScale>
        <cfvo type="min"/>
        <cfvo type="percentile" val="50"/>
        <cfvo type="max"/>
        <color rgb="FFF8696B"/>
        <color rgb="FFFFEB84"/>
        <color rgb="FF63BE7B"/>
      </colorScale>
    </cfRule>
  </conditionalFormatting>
  <conditionalFormatting sqref="H3:H1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2"/>
  <dimension ref="A1:H16"/>
  <sheetViews>
    <sheetView workbookViewId="0">
      <selection activeCell="H28" sqref="H28"/>
    </sheetView>
  </sheetViews>
  <sheetFormatPr defaultColWidth="8.85546875" defaultRowHeight="12" x14ac:dyDescent="0.2"/>
  <cols>
    <col min="1" max="16384" width="8.85546875" style="30"/>
  </cols>
  <sheetData>
    <row r="1" spans="1:8" ht="14.45" customHeight="1" x14ac:dyDescent="0.2">
      <c r="A1" s="42">
        <v>2018</v>
      </c>
      <c r="B1" s="42"/>
      <c r="C1" s="42"/>
      <c r="D1" s="42"/>
      <c r="E1" s="42"/>
      <c r="F1" s="42"/>
      <c r="G1" s="42"/>
      <c r="H1" s="43"/>
    </row>
    <row r="2" spans="1:8" x14ac:dyDescent="0.2">
      <c r="A2" s="18" t="s">
        <v>360</v>
      </c>
      <c r="B2" s="18" t="s">
        <v>365</v>
      </c>
      <c r="C2" s="18" t="s">
        <v>366</v>
      </c>
      <c r="D2" s="18" t="s">
        <v>361</v>
      </c>
      <c r="E2" s="18" t="s">
        <v>574</v>
      </c>
      <c r="F2" s="18" t="s">
        <v>573</v>
      </c>
      <c r="G2" s="18" t="s">
        <v>572</v>
      </c>
      <c r="H2" s="18" t="s">
        <v>575</v>
      </c>
    </row>
    <row r="3" spans="1:8" x14ac:dyDescent="0.2">
      <c r="A3" s="17">
        <v>1</v>
      </c>
      <c r="B3" s="14" t="e">
        <f ca="1" xml:space="preserve">
 COUNTIFS(
 INDIRECT(CONCATENATE("List!G$2:G$",#REF!)),
 $A$1,
 INDIRECT(CONCATENATE("List!H$2:H$",#REF!)),
 $A3,
 INDIRECT(CONCATENATE("List!C$2:C$",#REF!)),#REF!)</f>
        <v>#REF!</v>
      </c>
      <c r="C3" s="14" t="e">
        <f ca="1" xml:space="preserve">
 COUNTIFS(
 INDIRECT(CONCATENATE("List!G$2:G$",#REF!)),
 $A$1,
 INDIRECT(CONCATENATE("List!H$2:H$",#REF!)),
 $A3,
 INDIRECT(CONCATENATE("List!C$2:C$",#REF!)),#REF!)</f>
        <v>#REF!</v>
      </c>
      <c r="D3" s="14" t="e">
        <f ca="1">SUM(B3,C3)</f>
        <v>#REF!</v>
      </c>
      <c r="E3" s="14" t="e">
        <f ca="1" xml:space="preserve">
SUMIFS(
INDIRECT(CONCATENATE("List!E$2:E$",#REF!)),
INDIRECT(CONCATENATE("List!G$2:G$",#REF!)),
$A$1,
INDIRECT(CONCATENATE("List!H$2:H$",#REF!)),
$A3,
INDIRECT(CONCATENATE("List!C$2:C$",#REF!)),#REF!)</f>
        <v>#REF!</v>
      </c>
      <c r="F3" s="14" t="e">
        <f ca="1" xml:space="preserve">
SUMIFS(
INDIRECT(CONCATENATE("List!E$2:E$",#REF!)),
INDIRECT(CONCATENATE("List!G$2:G$",#REF!)),
$A$1,
INDIRECT(CONCATENATE("List!H$2:H$",#REF!)),
$A3,
INDIRECT(CONCATENATE("List!C$2:C$",#REF!)),#REF!)</f>
        <v>#REF!</v>
      </c>
      <c r="G3" s="14" t="e">
        <f ca="1">SUM(E3,F3)</f>
        <v>#REF!</v>
      </c>
      <c r="H3" s="16" t="e">
        <f ca="1" xml:space="preserve">
SUMIFS(
INDIRECT(CONCATENATE("List!M$2:M$",#REF!)),
INDIRECT(CONCATENATE("List!G$2:G$",#REF!)),
$A$1,
INDIRECT(CONCATENATE("List!H$2:H$",#REF!)),
$A3,
INDIRECT(CONCATENATE("List!C$2:C$",#REF!)),#REF!)</f>
        <v>#REF!</v>
      </c>
    </row>
    <row r="4" spans="1:8" x14ac:dyDescent="0.2">
      <c r="A4" s="17">
        <v>2</v>
      </c>
      <c r="B4" s="14" t="e">
        <f ca="1" xml:space="preserve">
 COUNTIFS(
 INDIRECT(CONCATENATE("List!G$2:G$",#REF!)),
 $A$1,
 INDIRECT(CONCATENATE("List!H$2:H$",#REF!)),
 $A4,
 INDIRECT(CONCATENATE("List!C$2:C$",#REF!)),#REF!)</f>
        <v>#REF!</v>
      </c>
      <c r="C4" s="14" t="e">
        <f ca="1" xml:space="preserve">
 COUNTIFS(
 INDIRECT(CONCATENATE("List!G$2:G$",#REF!)),
 $A$1,
 INDIRECT(CONCATENATE("List!H$2:H$",#REF!)),
 $A4,
 INDIRECT(CONCATENATE("List!C$2:C$",#REF!)),#REF!)</f>
        <v>#REF!</v>
      </c>
      <c r="D4" s="14" t="e">
        <f t="shared" ref="D4:D14" ca="1" si="0">SUM(B4,C4)</f>
        <v>#REF!</v>
      </c>
      <c r="E4" s="14" t="e">
        <f ca="1" xml:space="preserve">
SUMIFS(
INDIRECT(CONCATENATE("List!E$2:E$",#REF!)),
INDIRECT(CONCATENATE("List!G$2:G$",#REF!)),
$A$1,
INDIRECT(CONCATENATE("List!H$2:H$",#REF!)),
$A4,
INDIRECT(CONCATENATE("List!C$2:C$",#REF!)),#REF!)</f>
        <v>#REF!</v>
      </c>
      <c r="F4" s="14" t="e">
        <f ca="1" xml:space="preserve">
SUMIFS(
INDIRECT(CONCATENATE("List!E$2:E$",#REF!)),
INDIRECT(CONCATENATE("List!G$2:G$",#REF!)),
$A$1,
INDIRECT(CONCATENATE("List!H$2:H$",#REF!)),
$A4,
INDIRECT(CONCATENATE("List!C$2:C$",#REF!)),#REF!)</f>
        <v>#REF!</v>
      </c>
      <c r="G4" s="14" t="e">
        <f t="shared" ref="G4:G14" ca="1" si="1">SUM(E4,F4)</f>
        <v>#REF!</v>
      </c>
      <c r="H4" s="16" t="e">
        <f ca="1" xml:space="preserve">
SUMIFS(
INDIRECT(CONCATENATE("List!M$2:M$",#REF!)),
INDIRECT(CONCATENATE("List!G$2:G$",#REF!)),
$A$1,
INDIRECT(CONCATENATE("List!H$2:H$",#REF!)),
$A4,
INDIRECT(CONCATENATE("List!C$2:C$",#REF!)),#REF!)</f>
        <v>#REF!</v>
      </c>
    </row>
    <row r="5" spans="1:8" x14ac:dyDescent="0.2">
      <c r="A5" s="17">
        <v>3</v>
      </c>
      <c r="B5" s="14" t="e">
        <f ca="1" xml:space="preserve">
 COUNTIFS(
 INDIRECT(CONCATENATE("List!G$2:G$",#REF!)),
 $A$1,
 INDIRECT(CONCATENATE("List!H$2:H$",#REF!)),
 $A5,
 INDIRECT(CONCATENATE("List!C$2:C$",#REF!)),#REF!)</f>
        <v>#REF!</v>
      </c>
      <c r="C5" s="14" t="e">
        <f ca="1" xml:space="preserve">
 COUNTIFS(
 INDIRECT(CONCATENATE("List!G$2:G$",#REF!)),
 $A$1,
 INDIRECT(CONCATENATE("List!H$2:H$",#REF!)),
 $A5,
 INDIRECT(CONCATENATE("List!C$2:C$",#REF!)),#REF!)</f>
        <v>#REF!</v>
      </c>
      <c r="D5" s="14" t="e">
        <f t="shared" ca="1" si="0"/>
        <v>#REF!</v>
      </c>
      <c r="E5" s="14" t="e">
        <f ca="1" xml:space="preserve">
SUMIFS(
INDIRECT(CONCATENATE("List!E$2:E$",#REF!)),
INDIRECT(CONCATENATE("List!G$2:G$",#REF!)),
$A$1,
INDIRECT(CONCATENATE("List!H$2:H$",#REF!)),
$A5,
INDIRECT(CONCATENATE("List!C$2:C$",#REF!)),#REF!)</f>
        <v>#REF!</v>
      </c>
      <c r="F5" s="14" t="e">
        <f ca="1" xml:space="preserve">
SUMIFS(
INDIRECT(CONCATENATE("List!E$2:E$",#REF!)),
INDIRECT(CONCATENATE("List!G$2:G$",#REF!)),
$A$1,
INDIRECT(CONCATENATE("List!H$2:H$",#REF!)),
$A5,
INDIRECT(CONCATENATE("List!C$2:C$",#REF!)),#REF!)</f>
        <v>#REF!</v>
      </c>
      <c r="G5" s="14" t="e">
        <f t="shared" ca="1" si="1"/>
        <v>#REF!</v>
      </c>
      <c r="H5" s="16" t="e">
        <f ca="1" xml:space="preserve">
SUMIFS(
INDIRECT(CONCATENATE("List!M$2:M$",#REF!)),
INDIRECT(CONCATENATE("List!G$2:G$",#REF!)),
$A$1,
INDIRECT(CONCATENATE("List!H$2:H$",#REF!)),
$A5,
INDIRECT(CONCATENATE("List!C$2:C$",#REF!)),#REF!)</f>
        <v>#REF!</v>
      </c>
    </row>
    <row r="6" spans="1:8" x14ac:dyDescent="0.2">
      <c r="A6" s="17">
        <v>4</v>
      </c>
      <c r="B6" s="14" t="e">
        <f ca="1" xml:space="preserve">
 COUNTIFS(
 INDIRECT(CONCATENATE("List!G$2:G$",#REF!)),
 $A$1,
 INDIRECT(CONCATENATE("List!H$2:H$",#REF!)),
 $A6,
 INDIRECT(CONCATENATE("List!C$2:C$",#REF!)),#REF!)</f>
        <v>#REF!</v>
      </c>
      <c r="C6" s="14" t="e">
        <f ca="1" xml:space="preserve">
 COUNTIFS(
 INDIRECT(CONCATENATE("List!G$2:G$",#REF!)),
 $A$1,
 INDIRECT(CONCATENATE("List!H$2:H$",#REF!)),
 $A6,
 INDIRECT(CONCATENATE("List!C$2:C$",#REF!)),#REF!)</f>
        <v>#REF!</v>
      </c>
      <c r="D6" s="14" t="e">
        <f t="shared" ca="1" si="0"/>
        <v>#REF!</v>
      </c>
      <c r="E6" s="14" t="e">
        <f ca="1" xml:space="preserve">
SUMIFS(
INDIRECT(CONCATENATE("List!E$2:E$",#REF!)),
INDIRECT(CONCATENATE("List!G$2:G$",#REF!)),
$A$1,
INDIRECT(CONCATENATE("List!H$2:H$",#REF!)),
$A6,
INDIRECT(CONCATENATE("List!C$2:C$",#REF!)),#REF!)</f>
        <v>#REF!</v>
      </c>
      <c r="F6" s="14" t="e">
        <f ca="1" xml:space="preserve">
SUMIFS(
INDIRECT(CONCATENATE("List!E$2:E$",#REF!)),
INDIRECT(CONCATENATE("List!G$2:G$",#REF!)),
$A$1,
INDIRECT(CONCATENATE("List!H$2:H$",#REF!)),
$A6,
INDIRECT(CONCATENATE("List!C$2:C$",#REF!)),#REF!)</f>
        <v>#REF!</v>
      </c>
      <c r="G6" s="14" t="e">
        <f t="shared" ca="1" si="1"/>
        <v>#REF!</v>
      </c>
      <c r="H6" s="16" t="e">
        <f ca="1" xml:space="preserve">
SUMIFS(
INDIRECT(CONCATENATE("List!M$2:M$",#REF!)),
INDIRECT(CONCATENATE("List!G$2:G$",#REF!)),
$A$1,
INDIRECT(CONCATENATE("List!H$2:H$",#REF!)),
$A6,
INDIRECT(CONCATENATE("List!C$2:C$",#REF!)),#REF!)</f>
        <v>#REF!</v>
      </c>
    </row>
    <row r="7" spans="1:8" x14ac:dyDescent="0.2">
      <c r="A7" s="17">
        <v>5</v>
      </c>
      <c r="B7" s="14" t="e">
        <f ca="1" xml:space="preserve">
 COUNTIFS(
 INDIRECT(CONCATENATE("List!G$2:G$",#REF!)),
 $A$1,
 INDIRECT(CONCATENATE("List!H$2:H$",#REF!)),
 $A7,
 INDIRECT(CONCATENATE("List!C$2:C$",#REF!)),#REF!)</f>
        <v>#REF!</v>
      </c>
      <c r="C7" s="14" t="e">
        <f ca="1" xml:space="preserve">
 COUNTIFS(
 INDIRECT(CONCATENATE("List!G$2:G$",#REF!)),
 $A$1,
 INDIRECT(CONCATENATE("List!H$2:H$",#REF!)),
 $A7,
 INDIRECT(CONCATENATE("List!C$2:C$",#REF!)),#REF!)</f>
        <v>#REF!</v>
      </c>
      <c r="D7" s="14" t="e">
        <f t="shared" ca="1" si="0"/>
        <v>#REF!</v>
      </c>
      <c r="E7" s="14" t="e">
        <f ca="1" xml:space="preserve">
SUMIFS(
INDIRECT(CONCATENATE("List!E$2:E$",#REF!)),
INDIRECT(CONCATENATE("List!G$2:G$",#REF!)),
$A$1,
INDIRECT(CONCATENATE("List!H$2:H$",#REF!)),
$A7,
INDIRECT(CONCATENATE("List!C$2:C$",#REF!)),#REF!)</f>
        <v>#REF!</v>
      </c>
      <c r="F7" s="14" t="e">
        <f ca="1" xml:space="preserve">
SUMIFS(
INDIRECT(CONCATENATE("List!E$2:E$",#REF!)),
INDIRECT(CONCATENATE("List!G$2:G$",#REF!)),
$A$1,
INDIRECT(CONCATENATE("List!H$2:H$",#REF!)),
$A7,
INDIRECT(CONCATENATE("List!C$2:C$",#REF!)),#REF!)</f>
        <v>#REF!</v>
      </c>
      <c r="G7" s="14" t="e">
        <f t="shared" ca="1" si="1"/>
        <v>#REF!</v>
      </c>
      <c r="H7" s="16" t="e">
        <f ca="1" xml:space="preserve">
SUMIFS(
INDIRECT(CONCATENATE("List!M$2:M$",#REF!)),
INDIRECT(CONCATENATE("List!G$2:G$",#REF!)),
$A$1,
INDIRECT(CONCATENATE("List!H$2:H$",#REF!)),
$A7,
INDIRECT(CONCATENATE("List!C$2:C$",#REF!)),#REF!)</f>
        <v>#REF!</v>
      </c>
    </row>
    <row r="8" spans="1:8" x14ac:dyDescent="0.2">
      <c r="A8" s="17">
        <v>6</v>
      </c>
      <c r="B8" s="14" t="e">
        <f ca="1" xml:space="preserve">
 COUNTIFS(
 INDIRECT(CONCATENATE("List!G$2:G$",#REF!)),
 $A$1,
 INDIRECT(CONCATENATE("List!H$2:H$",#REF!)),
 $A8,
 INDIRECT(CONCATENATE("List!C$2:C$",#REF!)),#REF!)</f>
        <v>#REF!</v>
      </c>
      <c r="C8" s="14" t="e">
        <f ca="1" xml:space="preserve">
 COUNTIFS(
 INDIRECT(CONCATENATE("List!G$2:G$",#REF!)),
 $A$1,
 INDIRECT(CONCATENATE("List!H$2:H$",#REF!)),
 $A8,
 INDIRECT(CONCATENATE("List!C$2:C$",#REF!)),#REF!)</f>
        <v>#REF!</v>
      </c>
      <c r="D8" s="14" t="e">
        <f t="shared" ca="1" si="0"/>
        <v>#REF!</v>
      </c>
      <c r="E8" s="14" t="e">
        <f ca="1" xml:space="preserve">
SUMIFS(
INDIRECT(CONCATENATE("List!E$2:E$",#REF!)),
INDIRECT(CONCATENATE("List!G$2:G$",#REF!)),
$A$1,
INDIRECT(CONCATENATE("List!H$2:H$",#REF!)),
$A8,
INDIRECT(CONCATENATE("List!C$2:C$",#REF!)),#REF!)</f>
        <v>#REF!</v>
      </c>
      <c r="F8" s="14" t="e">
        <f ca="1" xml:space="preserve">
SUMIFS(
INDIRECT(CONCATENATE("List!E$2:E$",#REF!)),
INDIRECT(CONCATENATE("List!G$2:G$",#REF!)),
$A$1,
INDIRECT(CONCATENATE("List!H$2:H$",#REF!)),
$A8,
INDIRECT(CONCATENATE("List!C$2:C$",#REF!)),#REF!)</f>
        <v>#REF!</v>
      </c>
      <c r="G8" s="14" t="e">
        <f t="shared" ca="1" si="1"/>
        <v>#REF!</v>
      </c>
      <c r="H8" s="16" t="e">
        <f ca="1" xml:space="preserve">
SUMIFS(
INDIRECT(CONCATENATE("List!M$2:M$",#REF!)),
INDIRECT(CONCATENATE("List!G$2:G$",#REF!)),
$A$1,
INDIRECT(CONCATENATE("List!H$2:H$",#REF!)),
$A8,
INDIRECT(CONCATENATE("List!C$2:C$",#REF!)),#REF!)</f>
        <v>#REF!</v>
      </c>
    </row>
    <row r="9" spans="1:8" x14ac:dyDescent="0.2">
      <c r="A9" s="17">
        <v>7</v>
      </c>
      <c r="B9" s="14" t="e">
        <f ca="1" xml:space="preserve">
 COUNTIFS(
 INDIRECT(CONCATENATE("List!G$2:G$",#REF!)),
 $A$1,
 INDIRECT(CONCATENATE("List!H$2:H$",#REF!)),
 $A9,
 INDIRECT(CONCATENATE("List!C$2:C$",#REF!)),#REF!)</f>
        <v>#REF!</v>
      </c>
      <c r="C9" s="14" t="e">
        <f ca="1" xml:space="preserve">
 COUNTIFS(
 INDIRECT(CONCATENATE("List!G$2:G$",#REF!)),
 $A$1,
 INDIRECT(CONCATENATE("List!H$2:H$",#REF!)),
 $A9,
 INDIRECT(CONCATENATE("List!C$2:C$",#REF!)),#REF!)</f>
        <v>#REF!</v>
      </c>
      <c r="D9" s="14" t="e">
        <f t="shared" ca="1" si="0"/>
        <v>#REF!</v>
      </c>
      <c r="E9" s="14" t="e">
        <f ca="1" xml:space="preserve">
SUMIFS(
INDIRECT(CONCATENATE("List!E$2:E$",#REF!)),
INDIRECT(CONCATENATE("List!G$2:G$",#REF!)),
$A$1,
INDIRECT(CONCATENATE("List!H$2:H$",#REF!)),
$A9,
INDIRECT(CONCATENATE("List!C$2:C$",#REF!)),#REF!)</f>
        <v>#REF!</v>
      </c>
      <c r="F9" s="14" t="e">
        <f ca="1" xml:space="preserve">
SUMIFS(
INDIRECT(CONCATENATE("List!E$2:E$",#REF!)),
INDIRECT(CONCATENATE("List!G$2:G$",#REF!)),
$A$1,
INDIRECT(CONCATENATE("List!H$2:H$",#REF!)),
$A9,
INDIRECT(CONCATENATE("List!C$2:C$",#REF!)),#REF!)</f>
        <v>#REF!</v>
      </c>
      <c r="G9" s="14" t="e">
        <f t="shared" ca="1" si="1"/>
        <v>#REF!</v>
      </c>
      <c r="H9" s="16" t="e">
        <f ca="1" xml:space="preserve">
SUMIFS(
INDIRECT(CONCATENATE("List!M$2:M$",#REF!)),
INDIRECT(CONCATENATE("List!G$2:G$",#REF!)),
$A$1,
INDIRECT(CONCATENATE("List!H$2:H$",#REF!)),
$A9,
INDIRECT(CONCATENATE("List!C$2:C$",#REF!)),#REF!)</f>
        <v>#REF!</v>
      </c>
    </row>
    <row r="10" spans="1:8" x14ac:dyDescent="0.2">
      <c r="A10" s="17">
        <v>8</v>
      </c>
      <c r="B10" s="14" t="e">
        <f ca="1" xml:space="preserve">
 COUNTIFS(
 INDIRECT(CONCATENATE("List!G$2:G$",#REF!)),
 $A$1,
 INDIRECT(CONCATENATE("List!H$2:H$",#REF!)),
 $A10,
 INDIRECT(CONCATENATE("List!C$2:C$",#REF!)),#REF!)</f>
        <v>#REF!</v>
      </c>
      <c r="C10" s="14" t="e">
        <f ca="1" xml:space="preserve">
 COUNTIFS(
 INDIRECT(CONCATENATE("List!G$2:G$",#REF!)),
 $A$1,
 INDIRECT(CONCATENATE("List!H$2:H$",#REF!)),
 $A10,
 INDIRECT(CONCATENATE("List!C$2:C$",#REF!)),#REF!)</f>
        <v>#REF!</v>
      </c>
      <c r="D10" s="14" t="e">
        <f t="shared" ca="1" si="0"/>
        <v>#REF!</v>
      </c>
      <c r="E10" s="14" t="e">
        <f ca="1" xml:space="preserve">
SUMIFS(
INDIRECT(CONCATENATE("List!E$2:E$",#REF!)),
INDIRECT(CONCATENATE("List!G$2:G$",#REF!)),
$A$1,
INDIRECT(CONCATENATE("List!H$2:H$",#REF!)),
$A10,
INDIRECT(CONCATENATE("List!C$2:C$",#REF!)),#REF!)</f>
        <v>#REF!</v>
      </c>
      <c r="F10" s="14" t="e">
        <f ca="1" xml:space="preserve">
SUMIFS(
INDIRECT(CONCATENATE("List!E$2:E$",#REF!)),
INDIRECT(CONCATENATE("List!G$2:G$",#REF!)),
$A$1,
INDIRECT(CONCATENATE("List!H$2:H$",#REF!)),
$A10,
INDIRECT(CONCATENATE("List!C$2:C$",#REF!)),#REF!)</f>
        <v>#REF!</v>
      </c>
      <c r="G10" s="14" t="e">
        <f t="shared" ca="1" si="1"/>
        <v>#REF!</v>
      </c>
      <c r="H10" s="16" t="e">
        <f ca="1" xml:space="preserve">
SUMIFS(
INDIRECT(CONCATENATE("List!M$2:M$",#REF!)),
INDIRECT(CONCATENATE("List!G$2:G$",#REF!)),
$A$1,
INDIRECT(CONCATENATE("List!H$2:H$",#REF!)),
$A10,
INDIRECT(CONCATENATE("List!C$2:C$",#REF!)),#REF!)</f>
        <v>#REF!</v>
      </c>
    </row>
    <row r="11" spans="1:8" x14ac:dyDescent="0.2">
      <c r="A11" s="17">
        <v>9</v>
      </c>
      <c r="B11" s="14" t="e">
        <f ca="1" xml:space="preserve">
 COUNTIFS(
 INDIRECT(CONCATENATE("List!G$2:G$",#REF!)),
 $A$1,
 INDIRECT(CONCATENATE("List!H$2:H$",#REF!)),
 $A11,
 INDIRECT(CONCATENATE("List!C$2:C$",#REF!)),#REF!)</f>
        <v>#REF!</v>
      </c>
      <c r="C11" s="14" t="e">
        <f ca="1" xml:space="preserve">
 COUNTIFS(
 INDIRECT(CONCATENATE("List!G$2:G$",#REF!)),
 $A$1,
 INDIRECT(CONCATENATE("List!H$2:H$",#REF!)),
 $A11,
 INDIRECT(CONCATENATE("List!C$2:C$",#REF!)),#REF!)</f>
        <v>#REF!</v>
      </c>
      <c r="D11" s="14" t="e">
        <f t="shared" ca="1" si="0"/>
        <v>#REF!</v>
      </c>
      <c r="E11" s="14" t="e">
        <f ca="1" xml:space="preserve">
SUMIFS(
INDIRECT(CONCATENATE("List!E$2:E$",#REF!)),
INDIRECT(CONCATENATE("List!G$2:G$",#REF!)),
$A$1,
INDIRECT(CONCATENATE("List!H$2:H$",#REF!)),
$A11,
INDIRECT(CONCATENATE("List!C$2:C$",#REF!)),#REF!)</f>
        <v>#REF!</v>
      </c>
      <c r="F11" s="14" t="e">
        <f ca="1" xml:space="preserve">
SUMIFS(
INDIRECT(CONCATENATE("List!E$2:E$",#REF!)),
INDIRECT(CONCATENATE("List!G$2:G$",#REF!)),
$A$1,
INDIRECT(CONCATENATE("List!H$2:H$",#REF!)),
$A11,
INDIRECT(CONCATENATE("List!C$2:C$",#REF!)),#REF!)</f>
        <v>#REF!</v>
      </c>
      <c r="G11" s="14" t="e">
        <f t="shared" ca="1" si="1"/>
        <v>#REF!</v>
      </c>
      <c r="H11" s="16" t="e">
        <f ca="1" xml:space="preserve">
SUMIFS(
INDIRECT(CONCATENATE("List!M$2:M$",#REF!)),
INDIRECT(CONCATENATE("List!G$2:G$",#REF!)),
$A$1,
INDIRECT(CONCATENATE("List!H$2:H$",#REF!)),
$A11,
INDIRECT(CONCATENATE("List!C$2:C$",#REF!)),#REF!)</f>
        <v>#REF!</v>
      </c>
    </row>
    <row r="12" spans="1:8" x14ac:dyDescent="0.2">
      <c r="A12" s="17">
        <v>10</v>
      </c>
      <c r="B12" s="14" t="e">
        <f ca="1" xml:space="preserve">
 COUNTIFS(
 INDIRECT(CONCATENATE("List!G$2:G$",#REF!)),
 $A$1,
 INDIRECT(CONCATENATE("List!H$2:H$",#REF!)),
 $A12,
 INDIRECT(CONCATENATE("List!C$2:C$",#REF!)),#REF!)</f>
        <v>#REF!</v>
      </c>
      <c r="C12" s="14" t="e">
        <f ca="1" xml:space="preserve">
 COUNTIFS(
 INDIRECT(CONCATENATE("List!G$2:G$",#REF!)),
 $A$1,
 INDIRECT(CONCATENATE("List!H$2:H$",#REF!)),
 $A12,
 INDIRECT(CONCATENATE("List!C$2:C$",#REF!)),#REF!)</f>
        <v>#REF!</v>
      </c>
      <c r="D12" s="14" t="e">
        <f t="shared" ca="1" si="0"/>
        <v>#REF!</v>
      </c>
      <c r="E12" s="14" t="e">
        <f ca="1" xml:space="preserve">
SUMIFS(
INDIRECT(CONCATENATE("List!E$2:E$",#REF!)),
INDIRECT(CONCATENATE("List!G$2:G$",#REF!)),
$A$1,
INDIRECT(CONCATENATE("List!H$2:H$",#REF!)),
$A12,
INDIRECT(CONCATENATE("List!C$2:C$",#REF!)),#REF!)</f>
        <v>#REF!</v>
      </c>
      <c r="F12" s="14" t="e">
        <f ca="1" xml:space="preserve">
SUMIFS(
INDIRECT(CONCATENATE("List!E$2:E$",#REF!)),
INDIRECT(CONCATENATE("List!G$2:G$",#REF!)),
$A$1,
INDIRECT(CONCATENATE("List!H$2:H$",#REF!)),
$A12,
INDIRECT(CONCATENATE("List!C$2:C$",#REF!)),#REF!)</f>
        <v>#REF!</v>
      </c>
      <c r="G12" s="14" t="e">
        <f t="shared" ca="1" si="1"/>
        <v>#REF!</v>
      </c>
      <c r="H12" s="16" t="e">
        <f ca="1" xml:space="preserve">
SUMIFS(
INDIRECT(CONCATENATE("List!M$2:M$",#REF!)),
INDIRECT(CONCATENATE("List!G$2:G$",#REF!)),
$A$1,
INDIRECT(CONCATENATE("List!H$2:H$",#REF!)),
$A12,
INDIRECT(CONCATENATE("List!C$2:C$",#REF!)),#REF!)</f>
        <v>#REF!</v>
      </c>
    </row>
    <row r="13" spans="1:8" x14ac:dyDescent="0.2">
      <c r="A13" s="17">
        <v>11</v>
      </c>
      <c r="B13" s="14" t="e">
        <f ca="1" xml:space="preserve">
 COUNTIFS(
 INDIRECT(CONCATENATE("List!G$2:G$",#REF!)),
 $A$1,
 INDIRECT(CONCATENATE("List!H$2:H$",#REF!)),
 $A13,
 INDIRECT(CONCATENATE("List!C$2:C$",#REF!)),#REF!)</f>
        <v>#REF!</v>
      </c>
      <c r="C13" s="14" t="e">
        <f ca="1" xml:space="preserve">
 COUNTIFS(
 INDIRECT(CONCATENATE("List!G$2:G$",#REF!)),
 $A$1,
 INDIRECT(CONCATENATE("List!H$2:H$",#REF!)),
 $A13,
 INDIRECT(CONCATENATE("List!C$2:C$",#REF!)),#REF!)</f>
        <v>#REF!</v>
      </c>
      <c r="D13" s="14" t="e">
        <f t="shared" ca="1" si="0"/>
        <v>#REF!</v>
      </c>
      <c r="E13" s="14" t="e">
        <f ca="1" xml:space="preserve">
SUMIFS(
INDIRECT(CONCATENATE("List!E$2:E$",#REF!)),
INDIRECT(CONCATENATE("List!G$2:G$",#REF!)),
$A$1,
INDIRECT(CONCATENATE("List!H$2:H$",#REF!)),
$A13,
INDIRECT(CONCATENATE("List!C$2:C$",#REF!)),#REF!)</f>
        <v>#REF!</v>
      </c>
      <c r="F13" s="14" t="e">
        <f ca="1" xml:space="preserve">
SUMIFS(
INDIRECT(CONCATENATE("List!E$2:E$",#REF!)),
INDIRECT(CONCATENATE("List!G$2:G$",#REF!)),
$A$1,
INDIRECT(CONCATENATE("List!H$2:H$",#REF!)),
$A13,
INDIRECT(CONCATENATE("List!C$2:C$",#REF!)),#REF!)</f>
        <v>#REF!</v>
      </c>
      <c r="G13" s="14" t="e">
        <f t="shared" ca="1" si="1"/>
        <v>#REF!</v>
      </c>
      <c r="H13" s="16" t="e">
        <f ca="1" xml:space="preserve">
SUMIFS(
INDIRECT(CONCATENATE("List!M$2:M$",#REF!)),
INDIRECT(CONCATENATE("List!G$2:G$",#REF!)),
$A$1,
INDIRECT(CONCATENATE("List!H$2:H$",#REF!)),
$A13,
INDIRECT(CONCATENATE("List!C$2:C$",#REF!)),#REF!)</f>
        <v>#REF!</v>
      </c>
    </row>
    <row r="14" spans="1:8" x14ac:dyDescent="0.2">
      <c r="A14" s="17">
        <v>12</v>
      </c>
      <c r="B14" s="14" t="e">
        <f ca="1" xml:space="preserve">
 COUNTIFS(
 INDIRECT(CONCATENATE("List!G$2:G$",#REF!)),
 $A$1,
 INDIRECT(CONCATENATE("List!H$2:H$",#REF!)),
 $A14,
 INDIRECT(CONCATENATE("List!C$2:C$",#REF!)),#REF!)</f>
        <v>#REF!</v>
      </c>
      <c r="C14" s="14" t="e">
        <f ca="1" xml:space="preserve">
 COUNTIFS(
 INDIRECT(CONCATENATE("List!G$2:G$",#REF!)),
 $A$1,
 INDIRECT(CONCATENATE("List!H$2:H$",#REF!)),
 $A14,
 INDIRECT(CONCATENATE("List!C$2:C$",#REF!)),#REF!)</f>
        <v>#REF!</v>
      </c>
      <c r="D14" s="14" t="e">
        <f t="shared" ca="1" si="0"/>
        <v>#REF!</v>
      </c>
      <c r="E14" s="14" t="e">
        <f ca="1" xml:space="preserve">
SUMIFS(
INDIRECT(CONCATENATE("List!E$2:E$",#REF!)),
INDIRECT(CONCATENATE("List!G$2:G$",#REF!)),
$A$1,
INDIRECT(CONCATENATE("List!H$2:H$",#REF!)),
$A14,
INDIRECT(CONCATENATE("List!C$2:C$",#REF!)),#REF!)</f>
        <v>#REF!</v>
      </c>
      <c r="F14" s="14" t="e">
        <f ca="1" xml:space="preserve">
SUMIFS(
INDIRECT(CONCATENATE("List!E$2:E$",#REF!)),
INDIRECT(CONCATENATE("List!G$2:G$",#REF!)),
$A$1,
INDIRECT(CONCATENATE("List!H$2:H$",#REF!)),
$A14,
INDIRECT(CONCATENATE("List!C$2:C$",#REF!)),#REF!)</f>
        <v>#REF!</v>
      </c>
      <c r="G14" s="14" t="e">
        <f t="shared" ca="1" si="1"/>
        <v>#REF!</v>
      </c>
      <c r="H14" s="16" t="e">
        <f ca="1" xml:space="preserve">
SUMIFS(
INDIRECT(CONCATENATE("List!M$2:M$",#REF!)),
INDIRECT(CONCATENATE("List!G$2:G$",#REF!)),
$A$1,
INDIRECT(CONCATENATE("List!H$2:H$",#REF!)),
$A14,
INDIRECT(CONCATENATE("List!C$2:C$",#REF!)),#REF!)</f>
        <v>#REF!</v>
      </c>
    </row>
    <row r="15" spans="1:8" x14ac:dyDescent="0.2">
      <c r="A15" s="3"/>
      <c r="B15" s="3"/>
      <c r="C15" s="3"/>
      <c r="D15" s="3"/>
      <c r="E15" s="3"/>
      <c r="F15" s="3"/>
      <c r="G15" s="3"/>
      <c r="H15" s="3"/>
    </row>
    <row r="16" spans="1:8" x14ac:dyDescent="0.2">
      <c r="A16" s="18" t="s">
        <v>361</v>
      </c>
      <c r="B16" s="20" t="e">
        <f ca="1">SUM(B3:B14)</f>
        <v>#REF!</v>
      </c>
      <c r="C16" s="20" t="e">
        <f t="shared" ref="C16:H16" ca="1" si="2">SUM(C3:C14)</f>
        <v>#REF!</v>
      </c>
      <c r="D16" s="20" t="e">
        <f t="shared" ca="1" si="2"/>
        <v>#REF!</v>
      </c>
      <c r="E16" s="20" t="e">
        <f t="shared" ca="1" si="2"/>
        <v>#REF!</v>
      </c>
      <c r="F16" s="20" t="e">
        <f t="shared" ca="1" si="2"/>
        <v>#REF!</v>
      </c>
      <c r="G16" s="20" t="e">
        <f t="shared" ca="1" si="2"/>
        <v>#REF!</v>
      </c>
      <c r="H16" s="21" t="e">
        <f t="shared" ca="1" si="2"/>
        <v>#REF!</v>
      </c>
    </row>
  </sheetData>
  <mergeCells count="1">
    <mergeCell ref="A1:H1"/>
  </mergeCells>
  <conditionalFormatting sqref="B3:B14">
    <cfRule type="colorScale" priority="5">
      <colorScale>
        <cfvo type="min"/>
        <cfvo type="percentile" val="50"/>
        <cfvo type="max"/>
        <color rgb="FFF8696B"/>
        <color rgb="FFFFEB84"/>
        <color rgb="FF63BE7B"/>
      </colorScale>
    </cfRule>
  </conditionalFormatting>
  <conditionalFormatting sqref="C3:C14">
    <cfRule type="colorScale" priority="4">
      <colorScale>
        <cfvo type="min"/>
        <cfvo type="percentile" val="50"/>
        <cfvo type="max"/>
        <color rgb="FFF8696B"/>
        <color rgb="FFFFEB84"/>
        <color rgb="FF63BE7B"/>
      </colorScale>
    </cfRule>
  </conditionalFormatting>
  <conditionalFormatting sqref="E3:E14">
    <cfRule type="colorScale" priority="3">
      <colorScale>
        <cfvo type="min"/>
        <cfvo type="percentile" val="50"/>
        <cfvo type="max"/>
        <color rgb="FFF8696B"/>
        <color rgb="FFFFEB84"/>
        <color rgb="FF63BE7B"/>
      </colorScale>
    </cfRule>
  </conditionalFormatting>
  <conditionalFormatting sqref="F3:F14">
    <cfRule type="colorScale" priority="2">
      <colorScale>
        <cfvo type="min"/>
        <cfvo type="percentile" val="50"/>
        <cfvo type="max"/>
        <color rgb="FFF8696B"/>
        <color rgb="FFFFEB84"/>
        <color rgb="FF63BE7B"/>
      </colorScale>
    </cfRule>
  </conditionalFormatting>
  <conditionalFormatting sqref="H3:H1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3"/>
  <dimension ref="A1:H16"/>
  <sheetViews>
    <sheetView workbookViewId="0">
      <selection activeCell="H29" sqref="H29"/>
    </sheetView>
  </sheetViews>
  <sheetFormatPr defaultColWidth="8.85546875" defaultRowHeight="12" x14ac:dyDescent="0.2"/>
  <cols>
    <col min="1" max="16384" width="8.85546875" style="30"/>
  </cols>
  <sheetData>
    <row r="1" spans="1:8" ht="14.45" customHeight="1" x14ac:dyDescent="0.2">
      <c r="A1" s="42">
        <v>2019</v>
      </c>
      <c r="B1" s="42"/>
      <c r="C1" s="42"/>
      <c r="D1" s="42"/>
      <c r="E1" s="42"/>
      <c r="F1" s="42"/>
      <c r="G1" s="42"/>
      <c r="H1" s="43"/>
    </row>
    <row r="2" spans="1:8" x14ac:dyDescent="0.2">
      <c r="A2" s="18" t="s">
        <v>360</v>
      </c>
      <c r="B2" s="18" t="s">
        <v>365</v>
      </c>
      <c r="C2" s="18" t="s">
        <v>366</v>
      </c>
      <c r="D2" s="18" t="s">
        <v>361</v>
      </c>
      <c r="E2" s="18" t="s">
        <v>574</v>
      </c>
      <c r="F2" s="18" t="s">
        <v>573</v>
      </c>
      <c r="G2" s="18" t="s">
        <v>572</v>
      </c>
      <c r="H2" s="18" t="s">
        <v>575</v>
      </c>
    </row>
    <row r="3" spans="1:8" x14ac:dyDescent="0.2">
      <c r="A3" s="17">
        <v>1</v>
      </c>
      <c r="B3" s="14" t="e">
        <f ca="1" xml:space="preserve">
 COUNTIFS(
 INDIRECT(CONCATENATE("List!G$2:G$",#REF!)),
 $A$1,
 INDIRECT(CONCATENATE("List!H$2:H$",#REF!)),
 $A3,
 INDIRECT(CONCATENATE("List!C$2:C$",#REF!)),#REF!)</f>
        <v>#REF!</v>
      </c>
      <c r="C3" s="14" t="e">
        <f ca="1" xml:space="preserve">
 COUNTIFS(
 INDIRECT(CONCATENATE("List!G$2:G$",#REF!)),
 $A$1,
 INDIRECT(CONCATENATE("List!H$2:H$",#REF!)),
 $A3,
 INDIRECT(CONCATENATE("List!C$2:C$",#REF!)),#REF!)</f>
        <v>#REF!</v>
      </c>
      <c r="D3" s="14" t="e">
        <f ca="1">SUM(B3,C3)</f>
        <v>#REF!</v>
      </c>
      <c r="E3" s="14" t="e">
        <f ca="1" xml:space="preserve">
SUMIFS(
INDIRECT(CONCATENATE("List!E$2:E$",#REF!)),
INDIRECT(CONCATENATE("List!G$2:G$",#REF!)),
$A$1,
INDIRECT(CONCATENATE("List!H$2:H$",#REF!)),
$A3,
INDIRECT(CONCATENATE("List!C$2:C$",#REF!)),#REF!)</f>
        <v>#REF!</v>
      </c>
      <c r="F3" s="14" t="e">
        <f ca="1" xml:space="preserve">
SUMIFS(
INDIRECT(CONCATENATE("List!E$2:E$",#REF!)),
INDIRECT(CONCATENATE("List!G$2:G$",#REF!)),
$A$1,
INDIRECT(CONCATENATE("List!H$2:H$",#REF!)),
$A3,
INDIRECT(CONCATENATE("List!C$2:C$",#REF!)),#REF!)</f>
        <v>#REF!</v>
      </c>
      <c r="G3" s="14" t="e">
        <f ca="1">SUM(E3,F3)</f>
        <v>#REF!</v>
      </c>
      <c r="H3" s="16" t="e">
        <f ca="1" xml:space="preserve">
SUMIFS(
INDIRECT(CONCATENATE("List!M$2:M$",#REF!)),
INDIRECT(CONCATENATE("List!G$2:G$",#REF!)),
$A$1,
INDIRECT(CONCATENATE("List!H$2:H$",#REF!)),
$A3,
INDIRECT(CONCATENATE("List!C$2:C$",#REF!)),#REF!)</f>
        <v>#REF!</v>
      </c>
    </row>
    <row r="4" spans="1:8" x14ac:dyDescent="0.2">
      <c r="A4" s="17">
        <v>2</v>
      </c>
      <c r="B4" s="14" t="e">
        <f ca="1" xml:space="preserve">
 COUNTIFS(
 INDIRECT(CONCATENATE("List!G$2:G$",#REF!)),
 $A$1,
 INDIRECT(CONCATENATE("List!H$2:H$",#REF!)),
 $A4,
 INDIRECT(CONCATENATE("List!C$2:C$",#REF!)),#REF!)</f>
        <v>#REF!</v>
      </c>
      <c r="C4" s="14" t="e">
        <f ca="1" xml:space="preserve">
 COUNTIFS(
 INDIRECT(CONCATENATE("List!G$2:G$",#REF!)),
 $A$1,
 INDIRECT(CONCATENATE("List!H$2:H$",#REF!)),
 $A4,
 INDIRECT(CONCATENATE("List!C$2:C$",#REF!)),#REF!)</f>
        <v>#REF!</v>
      </c>
      <c r="D4" s="14" t="e">
        <f t="shared" ref="D4:D14" ca="1" si="0">SUM(B4,C4)</f>
        <v>#REF!</v>
      </c>
      <c r="E4" s="14" t="e">
        <f ca="1" xml:space="preserve">
SUMIFS(
INDIRECT(CONCATENATE("List!E$2:E$",#REF!)),
INDIRECT(CONCATENATE("List!G$2:G$",#REF!)),
$A$1,
INDIRECT(CONCATENATE("List!H$2:H$",#REF!)),
$A4,
INDIRECT(CONCATENATE("List!C$2:C$",#REF!)),#REF!)</f>
        <v>#REF!</v>
      </c>
      <c r="F4" s="14" t="e">
        <f ca="1" xml:space="preserve">
SUMIFS(
INDIRECT(CONCATENATE("List!E$2:E$",#REF!)),
INDIRECT(CONCATENATE("List!G$2:G$",#REF!)),
$A$1,
INDIRECT(CONCATENATE("List!H$2:H$",#REF!)),
$A4,
INDIRECT(CONCATENATE("List!C$2:C$",#REF!)),#REF!)</f>
        <v>#REF!</v>
      </c>
      <c r="G4" s="14" t="e">
        <f t="shared" ref="G4:G14" ca="1" si="1">SUM(E4,F4)</f>
        <v>#REF!</v>
      </c>
      <c r="H4" s="16" t="e">
        <f ca="1" xml:space="preserve">
SUMIFS(
INDIRECT(CONCATENATE("List!M$2:M$",#REF!)),
INDIRECT(CONCATENATE("List!G$2:G$",#REF!)),
$A$1,
INDIRECT(CONCATENATE("List!H$2:H$",#REF!)),
$A4,
INDIRECT(CONCATENATE("List!C$2:C$",#REF!)),#REF!)</f>
        <v>#REF!</v>
      </c>
    </row>
    <row r="5" spans="1:8" x14ac:dyDescent="0.2">
      <c r="A5" s="17">
        <v>3</v>
      </c>
      <c r="B5" s="14" t="e">
        <f ca="1" xml:space="preserve">
 COUNTIFS(
 INDIRECT(CONCATENATE("List!G$2:G$",#REF!)),
 $A$1,
 INDIRECT(CONCATENATE("List!H$2:H$",#REF!)),
 $A5,
 INDIRECT(CONCATENATE("List!C$2:C$",#REF!)),#REF!)</f>
        <v>#REF!</v>
      </c>
      <c r="C5" s="14" t="e">
        <f ca="1" xml:space="preserve">
 COUNTIFS(
 INDIRECT(CONCATENATE("List!G$2:G$",#REF!)),
 $A$1,
 INDIRECT(CONCATENATE("List!H$2:H$",#REF!)),
 $A5,
 INDIRECT(CONCATENATE("List!C$2:C$",#REF!)),#REF!)</f>
        <v>#REF!</v>
      </c>
      <c r="D5" s="14" t="e">
        <f t="shared" ca="1" si="0"/>
        <v>#REF!</v>
      </c>
      <c r="E5" s="14" t="e">
        <f ca="1" xml:space="preserve">
SUMIFS(
INDIRECT(CONCATENATE("List!E$2:E$",#REF!)),
INDIRECT(CONCATENATE("List!G$2:G$",#REF!)),
$A$1,
INDIRECT(CONCATENATE("List!H$2:H$",#REF!)),
$A5,
INDIRECT(CONCATENATE("List!C$2:C$",#REF!)),#REF!)</f>
        <v>#REF!</v>
      </c>
      <c r="F5" s="14" t="e">
        <f ca="1" xml:space="preserve">
SUMIFS(
INDIRECT(CONCATENATE("List!E$2:E$",#REF!)),
INDIRECT(CONCATENATE("List!G$2:G$",#REF!)),
$A$1,
INDIRECT(CONCATENATE("List!H$2:H$",#REF!)),
$A5,
INDIRECT(CONCATENATE("List!C$2:C$",#REF!)),#REF!)</f>
        <v>#REF!</v>
      </c>
      <c r="G5" s="14" t="e">
        <f t="shared" ca="1" si="1"/>
        <v>#REF!</v>
      </c>
      <c r="H5" s="16" t="e">
        <f ca="1" xml:space="preserve">
SUMIFS(
INDIRECT(CONCATENATE("List!M$2:M$",#REF!)),
INDIRECT(CONCATENATE("List!G$2:G$",#REF!)),
$A$1,
INDIRECT(CONCATENATE("List!H$2:H$",#REF!)),
$A5,
INDIRECT(CONCATENATE("List!C$2:C$",#REF!)),#REF!)</f>
        <v>#REF!</v>
      </c>
    </row>
    <row r="6" spans="1:8" x14ac:dyDescent="0.2">
      <c r="A6" s="17">
        <v>4</v>
      </c>
      <c r="B6" s="14" t="e">
        <f ca="1" xml:space="preserve">
 COUNTIFS(
 INDIRECT(CONCATENATE("List!G$2:G$",#REF!)),
 $A$1,
 INDIRECT(CONCATENATE("List!H$2:H$",#REF!)),
 $A6,
 INDIRECT(CONCATENATE("List!C$2:C$",#REF!)),#REF!)</f>
        <v>#REF!</v>
      </c>
      <c r="C6" s="14" t="e">
        <f ca="1" xml:space="preserve">
 COUNTIFS(
 INDIRECT(CONCATENATE("List!G$2:G$",#REF!)),
 $A$1,
 INDIRECT(CONCATENATE("List!H$2:H$",#REF!)),
 $A6,
 INDIRECT(CONCATENATE("List!C$2:C$",#REF!)),#REF!)</f>
        <v>#REF!</v>
      </c>
      <c r="D6" s="14" t="e">
        <f t="shared" ca="1" si="0"/>
        <v>#REF!</v>
      </c>
      <c r="E6" s="14" t="e">
        <f ca="1" xml:space="preserve">
SUMIFS(
INDIRECT(CONCATENATE("List!E$2:E$",#REF!)),
INDIRECT(CONCATENATE("List!G$2:G$",#REF!)),
$A$1,
INDIRECT(CONCATENATE("List!H$2:H$",#REF!)),
$A6,
INDIRECT(CONCATENATE("List!C$2:C$",#REF!)),#REF!)</f>
        <v>#REF!</v>
      </c>
      <c r="F6" s="14" t="e">
        <f ca="1" xml:space="preserve">
SUMIFS(
INDIRECT(CONCATENATE("List!E$2:E$",#REF!)),
INDIRECT(CONCATENATE("List!G$2:G$",#REF!)),
$A$1,
INDIRECT(CONCATENATE("List!H$2:H$",#REF!)),
$A6,
INDIRECT(CONCATENATE("List!C$2:C$",#REF!)),#REF!)</f>
        <v>#REF!</v>
      </c>
      <c r="G6" s="14" t="e">
        <f t="shared" ca="1" si="1"/>
        <v>#REF!</v>
      </c>
      <c r="H6" s="16" t="e">
        <f ca="1" xml:space="preserve">
SUMIFS(
INDIRECT(CONCATENATE("List!M$2:M$",#REF!)),
INDIRECT(CONCATENATE("List!G$2:G$",#REF!)),
$A$1,
INDIRECT(CONCATENATE("List!H$2:H$",#REF!)),
$A6,
INDIRECT(CONCATENATE("List!C$2:C$",#REF!)),#REF!)</f>
        <v>#REF!</v>
      </c>
    </row>
    <row r="7" spans="1:8" x14ac:dyDescent="0.2">
      <c r="A7" s="17">
        <v>5</v>
      </c>
      <c r="B7" s="14" t="e">
        <f ca="1" xml:space="preserve">
 COUNTIFS(
 INDIRECT(CONCATENATE("List!G$2:G$",#REF!)),
 $A$1,
 INDIRECT(CONCATENATE("List!H$2:H$",#REF!)),
 $A7,
 INDIRECT(CONCATENATE("List!C$2:C$",#REF!)),#REF!)</f>
        <v>#REF!</v>
      </c>
      <c r="C7" s="14" t="e">
        <f ca="1" xml:space="preserve">
 COUNTIFS(
 INDIRECT(CONCATENATE("List!G$2:G$",#REF!)),
 $A$1,
 INDIRECT(CONCATENATE("List!H$2:H$",#REF!)),
 $A7,
 INDIRECT(CONCATENATE("List!C$2:C$",#REF!)),#REF!)</f>
        <v>#REF!</v>
      </c>
      <c r="D7" s="14" t="e">
        <f t="shared" ca="1" si="0"/>
        <v>#REF!</v>
      </c>
      <c r="E7" s="14" t="e">
        <f ca="1" xml:space="preserve">
SUMIFS(
INDIRECT(CONCATENATE("List!E$2:E$",#REF!)),
INDIRECT(CONCATENATE("List!G$2:G$",#REF!)),
$A$1,
INDIRECT(CONCATENATE("List!H$2:H$",#REF!)),
$A7,
INDIRECT(CONCATENATE("List!C$2:C$",#REF!)),#REF!)</f>
        <v>#REF!</v>
      </c>
      <c r="F7" s="14" t="e">
        <f ca="1" xml:space="preserve">
SUMIFS(
INDIRECT(CONCATENATE("List!E$2:E$",#REF!)),
INDIRECT(CONCATENATE("List!G$2:G$",#REF!)),
$A$1,
INDIRECT(CONCATENATE("List!H$2:H$",#REF!)),
$A7,
INDIRECT(CONCATENATE("List!C$2:C$",#REF!)),#REF!)</f>
        <v>#REF!</v>
      </c>
      <c r="G7" s="14" t="e">
        <f t="shared" ca="1" si="1"/>
        <v>#REF!</v>
      </c>
      <c r="H7" s="16" t="e">
        <f ca="1" xml:space="preserve">
SUMIFS(
INDIRECT(CONCATENATE("List!M$2:M$",#REF!)),
INDIRECT(CONCATENATE("List!G$2:G$",#REF!)),
$A$1,
INDIRECT(CONCATENATE("List!H$2:H$",#REF!)),
$A7,
INDIRECT(CONCATENATE("List!C$2:C$",#REF!)),#REF!)</f>
        <v>#REF!</v>
      </c>
    </row>
    <row r="8" spans="1:8" x14ac:dyDescent="0.2">
      <c r="A8" s="17">
        <v>6</v>
      </c>
      <c r="B8" s="14" t="e">
        <f ca="1" xml:space="preserve">
 COUNTIFS(
 INDIRECT(CONCATENATE("List!G$2:G$",#REF!)),
 $A$1,
 INDIRECT(CONCATENATE("List!H$2:H$",#REF!)),
 $A8,
 INDIRECT(CONCATENATE("List!C$2:C$",#REF!)),#REF!)</f>
        <v>#REF!</v>
      </c>
      <c r="C8" s="14" t="e">
        <f ca="1" xml:space="preserve">
 COUNTIFS(
 INDIRECT(CONCATENATE("List!G$2:G$",#REF!)),
 $A$1,
 INDIRECT(CONCATENATE("List!H$2:H$",#REF!)),
 $A8,
 INDIRECT(CONCATENATE("List!C$2:C$",#REF!)),#REF!)</f>
        <v>#REF!</v>
      </c>
      <c r="D8" s="14" t="e">
        <f t="shared" ca="1" si="0"/>
        <v>#REF!</v>
      </c>
      <c r="E8" s="14" t="e">
        <f ca="1" xml:space="preserve">
SUMIFS(
INDIRECT(CONCATENATE("List!E$2:E$",#REF!)),
INDIRECT(CONCATENATE("List!G$2:G$",#REF!)),
$A$1,
INDIRECT(CONCATENATE("List!H$2:H$",#REF!)),
$A8,
INDIRECT(CONCATENATE("List!C$2:C$",#REF!)),#REF!)</f>
        <v>#REF!</v>
      </c>
      <c r="F8" s="14" t="e">
        <f ca="1" xml:space="preserve">
SUMIFS(
INDIRECT(CONCATENATE("List!E$2:E$",#REF!)),
INDIRECT(CONCATENATE("List!G$2:G$",#REF!)),
$A$1,
INDIRECT(CONCATENATE("List!H$2:H$",#REF!)),
$A8,
INDIRECT(CONCATENATE("List!C$2:C$",#REF!)),#REF!)</f>
        <v>#REF!</v>
      </c>
      <c r="G8" s="14" t="e">
        <f t="shared" ca="1" si="1"/>
        <v>#REF!</v>
      </c>
      <c r="H8" s="16" t="e">
        <f ca="1" xml:space="preserve">
SUMIFS(
INDIRECT(CONCATENATE("List!M$2:M$",#REF!)),
INDIRECT(CONCATENATE("List!G$2:G$",#REF!)),
$A$1,
INDIRECT(CONCATENATE("List!H$2:H$",#REF!)),
$A8,
INDIRECT(CONCATENATE("List!C$2:C$",#REF!)),#REF!)</f>
        <v>#REF!</v>
      </c>
    </row>
    <row r="9" spans="1:8" x14ac:dyDescent="0.2">
      <c r="A9" s="17">
        <v>7</v>
      </c>
      <c r="B9" s="14" t="e">
        <f ca="1" xml:space="preserve">
 COUNTIFS(
 INDIRECT(CONCATENATE("List!G$2:G$",#REF!)),
 $A$1,
 INDIRECT(CONCATENATE("List!H$2:H$",#REF!)),
 $A9,
 INDIRECT(CONCATENATE("List!C$2:C$",#REF!)),#REF!)</f>
        <v>#REF!</v>
      </c>
      <c r="C9" s="14" t="e">
        <f ca="1" xml:space="preserve">
 COUNTIFS(
 INDIRECT(CONCATENATE("List!G$2:G$",#REF!)),
 $A$1,
 INDIRECT(CONCATENATE("List!H$2:H$",#REF!)),
 $A9,
 INDIRECT(CONCATENATE("List!C$2:C$",#REF!)),#REF!)</f>
        <v>#REF!</v>
      </c>
      <c r="D9" s="14" t="e">
        <f t="shared" ca="1" si="0"/>
        <v>#REF!</v>
      </c>
      <c r="E9" s="14" t="e">
        <f ca="1" xml:space="preserve">
SUMIFS(
INDIRECT(CONCATENATE("List!E$2:E$",#REF!)),
INDIRECT(CONCATENATE("List!G$2:G$",#REF!)),
$A$1,
INDIRECT(CONCATENATE("List!H$2:H$",#REF!)),
$A9,
INDIRECT(CONCATENATE("List!C$2:C$",#REF!)),#REF!)</f>
        <v>#REF!</v>
      </c>
      <c r="F9" s="14" t="e">
        <f ca="1" xml:space="preserve">
SUMIFS(
INDIRECT(CONCATENATE("List!E$2:E$",#REF!)),
INDIRECT(CONCATENATE("List!G$2:G$",#REF!)),
$A$1,
INDIRECT(CONCATENATE("List!H$2:H$",#REF!)),
$A9,
INDIRECT(CONCATENATE("List!C$2:C$",#REF!)),#REF!)</f>
        <v>#REF!</v>
      </c>
      <c r="G9" s="14" t="e">
        <f t="shared" ca="1" si="1"/>
        <v>#REF!</v>
      </c>
      <c r="H9" s="16" t="e">
        <f ca="1" xml:space="preserve">
SUMIFS(
INDIRECT(CONCATENATE("List!M$2:M$",#REF!)),
INDIRECT(CONCATENATE("List!G$2:G$",#REF!)),
$A$1,
INDIRECT(CONCATENATE("List!H$2:H$",#REF!)),
$A9,
INDIRECT(CONCATENATE("List!C$2:C$",#REF!)),#REF!)</f>
        <v>#REF!</v>
      </c>
    </row>
    <row r="10" spans="1:8" x14ac:dyDescent="0.2">
      <c r="A10" s="17">
        <v>8</v>
      </c>
      <c r="B10" s="14" t="e">
        <f ca="1" xml:space="preserve">
 COUNTIFS(
 INDIRECT(CONCATENATE("List!G$2:G$",#REF!)),
 $A$1,
 INDIRECT(CONCATENATE("List!H$2:H$",#REF!)),
 $A10,
 INDIRECT(CONCATENATE("List!C$2:C$",#REF!)),#REF!)</f>
        <v>#REF!</v>
      </c>
      <c r="C10" s="14" t="e">
        <f ca="1" xml:space="preserve">
 COUNTIFS(
 INDIRECT(CONCATENATE("List!G$2:G$",#REF!)),
 $A$1,
 INDIRECT(CONCATENATE("List!H$2:H$",#REF!)),
 $A10,
 INDIRECT(CONCATENATE("List!C$2:C$",#REF!)),#REF!)</f>
        <v>#REF!</v>
      </c>
      <c r="D10" s="14" t="e">
        <f t="shared" ca="1" si="0"/>
        <v>#REF!</v>
      </c>
      <c r="E10" s="14" t="e">
        <f ca="1" xml:space="preserve">
SUMIFS(
INDIRECT(CONCATENATE("List!E$2:E$",#REF!)),
INDIRECT(CONCATENATE("List!G$2:G$",#REF!)),
$A$1,
INDIRECT(CONCATENATE("List!H$2:H$",#REF!)),
$A10,
INDIRECT(CONCATENATE("List!C$2:C$",#REF!)),#REF!)</f>
        <v>#REF!</v>
      </c>
      <c r="F10" s="14" t="e">
        <f ca="1" xml:space="preserve">
SUMIFS(
INDIRECT(CONCATENATE("List!E$2:E$",#REF!)),
INDIRECT(CONCATENATE("List!G$2:G$",#REF!)),
$A$1,
INDIRECT(CONCATENATE("List!H$2:H$",#REF!)),
$A10,
INDIRECT(CONCATENATE("List!C$2:C$",#REF!)),#REF!)</f>
        <v>#REF!</v>
      </c>
      <c r="G10" s="14" t="e">
        <f t="shared" ca="1" si="1"/>
        <v>#REF!</v>
      </c>
      <c r="H10" s="16" t="e">
        <f ca="1" xml:space="preserve">
SUMIFS(
INDIRECT(CONCATENATE("List!M$2:M$",#REF!)),
INDIRECT(CONCATENATE("List!G$2:G$",#REF!)),
$A$1,
INDIRECT(CONCATENATE("List!H$2:H$",#REF!)),
$A10,
INDIRECT(CONCATENATE("List!C$2:C$",#REF!)),#REF!)</f>
        <v>#REF!</v>
      </c>
    </row>
    <row r="11" spans="1:8" x14ac:dyDescent="0.2">
      <c r="A11" s="17">
        <v>9</v>
      </c>
      <c r="B11" s="14" t="e">
        <f ca="1" xml:space="preserve">
 COUNTIFS(
 INDIRECT(CONCATENATE("List!G$2:G$",#REF!)),
 $A$1,
 INDIRECT(CONCATENATE("List!H$2:H$",#REF!)),
 $A11,
 INDIRECT(CONCATENATE("List!C$2:C$",#REF!)),#REF!)</f>
        <v>#REF!</v>
      </c>
      <c r="C11" s="14" t="e">
        <f ca="1" xml:space="preserve">
 COUNTIFS(
 INDIRECT(CONCATENATE("List!G$2:G$",#REF!)),
 $A$1,
 INDIRECT(CONCATENATE("List!H$2:H$",#REF!)),
 $A11,
 INDIRECT(CONCATENATE("List!C$2:C$",#REF!)),#REF!)</f>
        <v>#REF!</v>
      </c>
      <c r="D11" s="14" t="e">
        <f t="shared" ca="1" si="0"/>
        <v>#REF!</v>
      </c>
      <c r="E11" s="14" t="e">
        <f ca="1" xml:space="preserve">
SUMIFS(
INDIRECT(CONCATENATE("List!E$2:E$",#REF!)),
INDIRECT(CONCATENATE("List!G$2:G$",#REF!)),
$A$1,
INDIRECT(CONCATENATE("List!H$2:H$",#REF!)),
$A11,
INDIRECT(CONCATENATE("List!C$2:C$",#REF!)),#REF!)</f>
        <v>#REF!</v>
      </c>
      <c r="F11" s="14" t="e">
        <f ca="1" xml:space="preserve">
SUMIFS(
INDIRECT(CONCATENATE("List!E$2:E$",#REF!)),
INDIRECT(CONCATENATE("List!G$2:G$",#REF!)),
$A$1,
INDIRECT(CONCATENATE("List!H$2:H$",#REF!)),
$A11,
INDIRECT(CONCATENATE("List!C$2:C$",#REF!)),#REF!)</f>
        <v>#REF!</v>
      </c>
      <c r="G11" s="14" t="e">
        <f t="shared" ca="1" si="1"/>
        <v>#REF!</v>
      </c>
      <c r="H11" s="16" t="e">
        <f ca="1" xml:space="preserve">
SUMIFS(
INDIRECT(CONCATENATE("List!M$2:M$",#REF!)),
INDIRECT(CONCATENATE("List!G$2:G$",#REF!)),
$A$1,
INDIRECT(CONCATENATE("List!H$2:H$",#REF!)),
$A11,
INDIRECT(CONCATENATE("List!C$2:C$",#REF!)),#REF!)</f>
        <v>#REF!</v>
      </c>
    </row>
    <row r="12" spans="1:8" x14ac:dyDescent="0.2">
      <c r="A12" s="17">
        <v>10</v>
      </c>
      <c r="B12" s="14" t="e">
        <f ca="1" xml:space="preserve">
 COUNTIFS(
 INDIRECT(CONCATENATE("List!G$2:G$",#REF!)),
 $A$1,
 INDIRECT(CONCATENATE("List!H$2:H$",#REF!)),
 $A12,
 INDIRECT(CONCATENATE("List!C$2:C$",#REF!)),#REF!)</f>
        <v>#REF!</v>
      </c>
      <c r="C12" s="14" t="e">
        <f ca="1" xml:space="preserve">
 COUNTIFS(
 INDIRECT(CONCATENATE("List!G$2:G$",#REF!)),
 $A$1,
 INDIRECT(CONCATENATE("List!H$2:H$",#REF!)),
 $A12,
 INDIRECT(CONCATENATE("List!C$2:C$",#REF!)),#REF!)</f>
        <v>#REF!</v>
      </c>
      <c r="D12" s="14" t="e">
        <f t="shared" ca="1" si="0"/>
        <v>#REF!</v>
      </c>
      <c r="E12" s="14" t="e">
        <f ca="1" xml:space="preserve">
SUMIFS(
INDIRECT(CONCATENATE("List!E$2:E$",#REF!)),
INDIRECT(CONCATENATE("List!G$2:G$",#REF!)),
$A$1,
INDIRECT(CONCATENATE("List!H$2:H$",#REF!)),
$A12,
INDIRECT(CONCATENATE("List!C$2:C$",#REF!)),#REF!)</f>
        <v>#REF!</v>
      </c>
      <c r="F12" s="14" t="e">
        <f ca="1" xml:space="preserve">
SUMIFS(
INDIRECT(CONCATENATE("List!E$2:E$",#REF!)),
INDIRECT(CONCATENATE("List!G$2:G$",#REF!)),
$A$1,
INDIRECT(CONCATENATE("List!H$2:H$",#REF!)),
$A12,
INDIRECT(CONCATENATE("List!C$2:C$",#REF!)),#REF!)</f>
        <v>#REF!</v>
      </c>
      <c r="G12" s="14" t="e">
        <f t="shared" ca="1" si="1"/>
        <v>#REF!</v>
      </c>
      <c r="H12" s="16" t="e">
        <f ca="1" xml:space="preserve">
SUMIFS(
INDIRECT(CONCATENATE("List!M$2:M$",#REF!)),
INDIRECT(CONCATENATE("List!G$2:G$",#REF!)),
$A$1,
INDIRECT(CONCATENATE("List!H$2:H$",#REF!)),
$A12,
INDIRECT(CONCATENATE("List!C$2:C$",#REF!)),#REF!)</f>
        <v>#REF!</v>
      </c>
    </row>
    <row r="13" spans="1:8" x14ac:dyDescent="0.2">
      <c r="A13" s="17">
        <v>11</v>
      </c>
      <c r="B13" s="14" t="e">
        <f ca="1" xml:space="preserve">
 COUNTIFS(
 INDIRECT(CONCATENATE("List!G$2:G$",#REF!)),
 $A$1,
 INDIRECT(CONCATENATE("List!H$2:H$",#REF!)),
 $A13,
 INDIRECT(CONCATENATE("List!C$2:C$",#REF!)),#REF!)</f>
        <v>#REF!</v>
      </c>
      <c r="C13" s="14" t="e">
        <f ca="1" xml:space="preserve">
 COUNTIFS(
 INDIRECT(CONCATENATE("List!G$2:G$",#REF!)),
 $A$1,
 INDIRECT(CONCATENATE("List!H$2:H$",#REF!)),
 $A13,
 INDIRECT(CONCATENATE("List!C$2:C$",#REF!)),#REF!)</f>
        <v>#REF!</v>
      </c>
      <c r="D13" s="14" t="e">
        <f t="shared" ca="1" si="0"/>
        <v>#REF!</v>
      </c>
      <c r="E13" s="14" t="e">
        <f ca="1" xml:space="preserve">
SUMIFS(
INDIRECT(CONCATENATE("List!E$2:E$",#REF!)),
INDIRECT(CONCATENATE("List!G$2:G$",#REF!)),
$A$1,
INDIRECT(CONCATENATE("List!H$2:H$",#REF!)),
$A13,
INDIRECT(CONCATENATE("List!C$2:C$",#REF!)),#REF!)</f>
        <v>#REF!</v>
      </c>
      <c r="F13" s="14" t="e">
        <f ca="1" xml:space="preserve">
SUMIFS(
INDIRECT(CONCATENATE("List!E$2:E$",#REF!)),
INDIRECT(CONCATENATE("List!G$2:G$",#REF!)),
$A$1,
INDIRECT(CONCATENATE("List!H$2:H$",#REF!)),
$A13,
INDIRECT(CONCATENATE("List!C$2:C$",#REF!)),#REF!)</f>
        <v>#REF!</v>
      </c>
      <c r="G13" s="14" t="e">
        <f t="shared" ca="1" si="1"/>
        <v>#REF!</v>
      </c>
      <c r="H13" s="16" t="e">
        <f ca="1" xml:space="preserve">
SUMIFS(
INDIRECT(CONCATENATE("List!M$2:M$",#REF!)),
INDIRECT(CONCATENATE("List!G$2:G$",#REF!)),
$A$1,
INDIRECT(CONCATENATE("List!H$2:H$",#REF!)),
$A13,
INDIRECT(CONCATENATE("List!C$2:C$",#REF!)),#REF!)</f>
        <v>#REF!</v>
      </c>
    </row>
    <row r="14" spans="1:8" x14ac:dyDescent="0.2">
      <c r="A14" s="17">
        <v>12</v>
      </c>
      <c r="B14" s="14" t="e">
        <f ca="1" xml:space="preserve">
 COUNTIFS(
 INDIRECT(CONCATENATE("List!G$2:G$",#REF!)),
 $A$1,
 INDIRECT(CONCATENATE("List!H$2:H$",#REF!)),
 $A14,
 INDIRECT(CONCATENATE("List!C$2:C$",#REF!)),#REF!)</f>
        <v>#REF!</v>
      </c>
      <c r="C14" s="14" t="e">
        <f ca="1" xml:space="preserve">
 COUNTIFS(
 INDIRECT(CONCATENATE("List!G$2:G$",#REF!)),
 $A$1,
 INDIRECT(CONCATENATE("List!H$2:H$",#REF!)),
 $A14,
 INDIRECT(CONCATENATE("List!C$2:C$",#REF!)),#REF!)</f>
        <v>#REF!</v>
      </c>
      <c r="D14" s="14" t="e">
        <f t="shared" ca="1" si="0"/>
        <v>#REF!</v>
      </c>
      <c r="E14" s="14" t="e">
        <f ca="1" xml:space="preserve">
SUMIFS(
INDIRECT(CONCATENATE("List!E$2:E$",#REF!)),
INDIRECT(CONCATENATE("List!G$2:G$",#REF!)),
$A$1,
INDIRECT(CONCATENATE("List!H$2:H$",#REF!)),
$A14,
INDIRECT(CONCATENATE("List!C$2:C$",#REF!)),#REF!)</f>
        <v>#REF!</v>
      </c>
      <c r="F14" s="14" t="e">
        <f ca="1" xml:space="preserve">
SUMIFS(
INDIRECT(CONCATENATE("List!E$2:E$",#REF!)),
INDIRECT(CONCATENATE("List!G$2:G$",#REF!)),
$A$1,
INDIRECT(CONCATENATE("List!H$2:H$",#REF!)),
$A14,
INDIRECT(CONCATENATE("List!C$2:C$",#REF!)),#REF!)</f>
        <v>#REF!</v>
      </c>
      <c r="G14" s="14" t="e">
        <f t="shared" ca="1" si="1"/>
        <v>#REF!</v>
      </c>
      <c r="H14" s="16" t="e">
        <f ca="1" xml:space="preserve">
SUMIFS(
INDIRECT(CONCATENATE("List!M$2:M$",#REF!)),
INDIRECT(CONCATENATE("List!G$2:G$",#REF!)),
$A$1,
INDIRECT(CONCATENATE("List!H$2:H$",#REF!)),
$A14,
INDIRECT(CONCATENATE("List!C$2:C$",#REF!)),#REF!)</f>
        <v>#REF!</v>
      </c>
    </row>
    <row r="15" spans="1:8" x14ac:dyDescent="0.2">
      <c r="A15" s="3"/>
      <c r="B15" s="3"/>
      <c r="C15" s="3"/>
      <c r="D15" s="3"/>
      <c r="E15" s="3"/>
      <c r="F15" s="3"/>
      <c r="G15" s="3"/>
      <c r="H15" s="3"/>
    </row>
    <row r="16" spans="1:8" x14ac:dyDescent="0.2">
      <c r="A16" s="18" t="s">
        <v>361</v>
      </c>
      <c r="B16" s="20" t="e">
        <f ca="1">SUM(B3:B14)</f>
        <v>#REF!</v>
      </c>
      <c r="C16" s="20" t="e">
        <f t="shared" ref="C16:H16" ca="1" si="2">SUM(C3:C14)</f>
        <v>#REF!</v>
      </c>
      <c r="D16" s="20" t="e">
        <f t="shared" ca="1" si="2"/>
        <v>#REF!</v>
      </c>
      <c r="E16" s="20" t="e">
        <f t="shared" ca="1" si="2"/>
        <v>#REF!</v>
      </c>
      <c r="F16" s="20" t="e">
        <f t="shared" ca="1" si="2"/>
        <v>#REF!</v>
      </c>
      <c r="G16" s="20" t="e">
        <f t="shared" ca="1" si="2"/>
        <v>#REF!</v>
      </c>
      <c r="H16" s="21" t="e">
        <f t="shared" ca="1" si="2"/>
        <v>#REF!</v>
      </c>
    </row>
  </sheetData>
  <mergeCells count="1">
    <mergeCell ref="A1:H1"/>
  </mergeCells>
  <conditionalFormatting sqref="B3:B14">
    <cfRule type="colorScale" priority="5">
      <colorScale>
        <cfvo type="min"/>
        <cfvo type="percentile" val="50"/>
        <cfvo type="max"/>
        <color rgb="FFF8696B"/>
        <color rgb="FFFFEB84"/>
        <color rgb="FF63BE7B"/>
      </colorScale>
    </cfRule>
  </conditionalFormatting>
  <conditionalFormatting sqref="C3:C14">
    <cfRule type="colorScale" priority="4">
      <colorScale>
        <cfvo type="min"/>
        <cfvo type="percentile" val="50"/>
        <cfvo type="max"/>
        <color rgb="FFF8696B"/>
        <color rgb="FFFFEB84"/>
        <color rgb="FF63BE7B"/>
      </colorScale>
    </cfRule>
  </conditionalFormatting>
  <conditionalFormatting sqref="E3:E14">
    <cfRule type="colorScale" priority="3">
      <colorScale>
        <cfvo type="min"/>
        <cfvo type="percentile" val="50"/>
        <cfvo type="max"/>
        <color rgb="FFF8696B"/>
        <color rgb="FFFFEB84"/>
        <color rgb="FF63BE7B"/>
      </colorScale>
    </cfRule>
  </conditionalFormatting>
  <conditionalFormatting sqref="F3:F14">
    <cfRule type="colorScale" priority="2">
      <colorScale>
        <cfvo type="min"/>
        <cfvo type="percentile" val="50"/>
        <cfvo type="max"/>
        <color rgb="FFF8696B"/>
        <color rgb="FFFFEB84"/>
        <color rgb="FF63BE7B"/>
      </colorScale>
    </cfRule>
  </conditionalFormatting>
  <conditionalFormatting sqref="H3:H1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4"/>
  <dimension ref="A1:H16"/>
  <sheetViews>
    <sheetView workbookViewId="0">
      <selection activeCell="F18" sqref="F18"/>
    </sheetView>
  </sheetViews>
  <sheetFormatPr defaultColWidth="8.85546875" defaultRowHeight="12" x14ac:dyDescent="0.2"/>
  <cols>
    <col min="1" max="16384" width="8.85546875" style="30"/>
  </cols>
  <sheetData>
    <row r="1" spans="1:8" ht="14.45" customHeight="1" x14ac:dyDescent="0.2">
      <c r="A1" s="42">
        <v>2020</v>
      </c>
      <c r="B1" s="42"/>
      <c r="C1" s="42"/>
      <c r="D1" s="42"/>
      <c r="E1" s="42"/>
      <c r="F1" s="42"/>
      <c r="G1" s="42"/>
      <c r="H1" s="43"/>
    </row>
    <row r="2" spans="1:8" x14ac:dyDescent="0.2">
      <c r="A2" s="18" t="s">
        <v>360</v>
      </c>
      <c r="B2" s="18" t="s">
        <v>365</v>
      </c>
      <c r="C2" s="18" t="s">
        <v>366</v>
      </c>
      <c r="D2" s="18" t="s">
        <v>361</v>
      </c>
      <c r="E2" s="18" t="s">
        <v>574</v>
      </c>
      <c r="F2" s="18" t="s">
        <v>573</v>
      </c>
      <c r="G2" s="18" t="s">
        <v>572</v>
      </c>
      <c r="H2" s="18" t="s">
        <v>575</v>
      </c>
    </row>
    <row r="3" spans="1:8" x14ac:dyDescent="0.2">
      <c r="A3" s="17">
        <v>1</v>
      </c>
      <c r="B3" s="14" t="e">
        <f ca="1" xml:space="preserve">
 COUNTIFS(
 INDIRECT(CONCATENATE("List!G$2:G$",#REF!)),
 $A$1,
 INDIRECT(CONCATENATE("List!H$2:H$",#REF!)),
 $A3,
 INDIRECT(CONCATENATE("List!C$2:C$",#REF!)),#REF!)</f>
        <v>#REF!</v>
      </c>
      <c r="C3" s="14" t="e">
        <f ca="1" xml:space="preserve">
 COUNTIFS(
 INDIRECT(CONCATENATE("List!G$2:G$",#REF!)),
 $A$1,
 INDIRECT(CONCATENATE("List!H$2:H$",#REF!)),
 $A3,
 INDIRECT(CONCATENATE("List!C$2:C$",#REF!)),#REF!)</f>
        <v>#REF!</v>
      </c>
      <c r="D3" s="14" t="e">
        <f ca="1">SUM(B3,C3)</f>
        <v>#REF!</v>
      </c>
      <c r="E3" s="14" t="e">
        <f ca="1" xml:space="preserve">
SUMIFS(
INDIRECT(CONCATENATE("List!E$2:E$",#REF!)),
INDIRECT(CONCATENATE("List!G$2:G$",#REF!)),
$A$1,
INDIRECT(CONCATENATE("List!H$2:H$",#REF!)),
$A3,
INDIRECT(CONCATENATE("List!C$2:C$",#REF!)),#REF!)</f>
        <v>#REF!</v>
      </c>
      <c r="F3" s="14" t="e">
        <f ca="1" xml:space="preserve">
SUMIFS(
INDIRECT(CONCATENATE("List!E$2:E$",#REF!)),
INDIRECT(CONCATENATE("List!G$2:G$",#REF!)),
$A$1,
INDIRECT(CONCATENATE("List!H$2:H$",#REF!)),
$A3,
INDIRECT(CONCATENATE("List!C$2:C$",#REF!)),#REF!)</f>
        <v>#REF!</v>
      </c>
      <c r="G3" s="14" t="e">
        <f ca="1">SUM(E3,F3)</f>
        <v>#REF!</v>
      </c>
      <c r="H3" s="16" t="e">
        <f ca="1" xml:space="preserve">
SUMIFS(
INDIRECT(CONCATENATE("List!M$2:M$",#REF!)),
INDIRECT(CONCATENATE("List!G$2:G$",#REF!)),
$A$1,
INDIRECT(CONCATENATE("List!H$2:H$",#REF!)),
$A3,
INDIRECT(CONCATENATE("List!C$2:C$",#REF!)),#REF!)</f>
        <v>#REF!</v>
      </c>
    </row>
    <row r="4" spans="1:8" x14ac:dyDescent="0.2">
      <c r="A4" s="17">
        <v>2</v>
      </c>
      <c r="B4" s="14" t="e">
        <f ca="1" xml:space="preserve">
 COUNTIFS(
 INDIRECT(CONCATENATE("List!G$2:G$",#REF!)),
 $A$1,
 INDIRECT(CONCATENATE("List!H$2:H$",#REF!)),
 $A4,
 INDIRECT(CONCATENATE("List!C$2:C$",#REF!)),#REF!)</f>
        <v>#REF!</v>
      </c>
      <c r="C4" s="14" t="e">
        <f ca="1" xml:space="preserve">
 COUNTIFS(
 INDIRECT(CONCATENATE("List!G$2:G$",#REF!)),
 $A$1,
 INDIRECT(CONCATENATE("List!H$2:H$",#REF!)),
 $A4,
 INDIRECT(CONCATENATE("List!C$2:C$",#REF!)),#REF!)</f>
        <v>#REF!</v>
      </c>
      <c r="D4" s="14" t="e">
        <f t="shared" ref="D4:D14" ca="1" si="0">SUM(B4,C4)</f>
        <v>#REF!</v>
      </c>
      <c r="E4" s="14" t="e">
        <f ca="1" xml:space="preserve">
SUMIFS(
INDIRECT(CONCATENATE("List!E$2:E$",#REF!)),
INDIRECT(CONCATENATE("List!G$2:G$",#REF!)),
$A$1,
INDIRECT(CONCATENATE("List!H$2:H$",#REF!)),
$A4,
INDIRECT(CONCATENATE("List!C$2:C$",#REF!)),#REF!)</f>
        <v>#REF!</v>
      </c>
      <c r="F4" s="14" t="e">
        <f ca="1" xml:space="preserve">
SUMIFS(
INDIRECT(CONCATENATE("List!E$2:E$",#REF!)),
INDIRECT(CONCATENATE("List!G$2:G$",#REF!)),
$A$1,
INDIRECT(CONCATENATE("List!H$2:H$",#REF!)),
$A4,
INDIRECT(CONCATENATE("List!C$2:C$",#REF!)),#REF!)</f>
        <v>#REF!</v>
      </c>
      <c r="G4" s="14" t="e">
        <f t="shared" ref="G4:G14" ca="1" si="1">SUM(E4,F4)</f>
        <v>#REF!</v>
      </c>
      <c r="H4" s="16" t="e">
        <f ca="1" xml:space="preserve">
SUMIFS(
INDIRECT(CONCATENATE("List!M$2:M$",#REF!)),
INDIRECT(CONCATENATE("List!G$2:G$",#REF!)),
$A$1,
INDIRECT(CONCATENATE("List!H$2:H$",#REF!)),
$A4,
INDIRECT(CONCATENATE("List!C$2:C$",#REF!)),#REF!)</f>
        <v>#REF!</v>
      </c>
    </row>
    <row r="5" spans="1:8" x14ac:dyDescent="0.2">
      <c r="A5" s="17">
        <v>3</v>
      </c>
      <c r="B5" s="14" t="e">
        <f ca="1" xml:space="preserve">
 COUNTIFS(
 INDIRECT(CONCATENATE("List!G$2:G$",#REF!)),
 $A$1,
 INDIRECT(CONCATENATE("List!H$2:H$",#REF!)),
 $A5,
 INDIRECT(CONCATENATE("List!C$2:C$",#REF!)),#REF!)</f>
        <v>#REF!</v>
      </c>
      <c r="C5" s="14" t="e">
        <f ca="1" xml:space="preserve">
 COUNTIFS(
 INDIRECT(CONCATENATE("List!G$2:G$",#REF!)),
 $A$1,
 INDIRECT(CONCATENATE("List!H$2:H$",#REF!)),
 $A5,
 INDIRECT(CONCATENATE("List!C$2:C$",#REF!)),#REF!)</f>
        <v>#REF!</v>
      </c>
      <c r="D5" s="14" t="e">
        <f t="shared" ca="1" si="0"/>
        <v>#REF!</v>
      </c>
      <c r="E5" s="14" t="e">
        <f ca="1" xml:space="preserve">
SUMIFS(
INDIRECT(CONCATENATE("List!E$2:E$",#REF!)),
INDIRECT(CONCATENATE("List!G$2:G$",#REF!)),
$A$1,
INDIRECT(CONCATENATE("List!H$2:H$",#REF!)),
$A5,
INDIRECT(CONCATENATE("List!C$2:C$",#REF!)),#REF!)</f>
        <v>#REF!</v>
      </c>
      <c r="F5" s="14" t="e">
        <f ca="1" xml:space="preserve">
SUMIFS(
INDIRECT(CONCATENATE("List!E$2:E$",#REF!)),
INDIRECT(CONCATENATE("List!G$2:G$",#REF!)),
$A$1,
INDIRECT(CONCATENATE("List!H$2:H$",#REF!)),
$A5,
INDIRECT(CONCATENATE("List!C$2:C$",#REF!)),#REF!)</f>
        <v>#REF!</v>
      </c>
      <c r="G5" s="14" t="e">
        <f t="shared" ca="1" si="1"/>
        <v>#REF!</v>
      </c>
      <c r="H5" s="16" t="e">
        <f ca="1" xml:space="preserve">
SUMIFS(
INDIRECT(CONCATENATE("List!M$2:M$",#REF!)),
INDIRECT(CONCATENATE("List!G$2:G$",#REF!)),
$A$1,
INDIRECT(CONCATENATE("List!H$2:H$",#REF!)),
$A5,
INDIRECT(CONCATENATE("List!C$2:C$",#REF!)),#REF!)</f>
        <v>#REF!</v>
      </c>
    </row>
    <row r="6" spans="1:8" x14ac:dyDescent="0.2">
      <c r="A6" s="17">
        <v>4</v>
      </c>
      <c r="B6" s="14" t="e">
        <f ca="1" xml:space="preserve">
 COUNTIFS(
 INDIRECT(CONCATENATE("List!G$2:G$",#REF!)),
 $A$1,
 INDIRECT(CONCATENATE("List!H$2:H$",#REF!)),
 $A6,
 INDIRECT(CONCATENATE("List!C$2:C$",#REF!)),#REF!)</f>
        <v>#REF!</v>
      </c>
      <c r="C6" s="14" t="e">
        <f ca="1" xml:space="preserve">
 COUNTIFS(
 INDIRECT(CONCATENATE("List!G$2:G$",#REF!)),
 $A$1,
 INDIRECT(CONCATENATE("List!H$2:H$",#REF!)),
 $A6,
 INDIRECT(CONCATENATE("List!C$2:C$",#REF!)),#REF!)</f>
        <v>#REF!</v>
      </c>
      <c r="D6" s="14" t="e">
        <f t="shared" ca="1" si="0"/>
        <v>#REF!</v>
      </c>
      <c r="E6" s="14" t="e">
        <f ca="1" xml:space="preserve">
SUMIFS(
INDIRECT(CONCATENATE("List!E$2:E$",#REF!)),
INDIRECT(CONCATENATE("List!G$2:G$",#REF!)),
$A$1,
INDIRECT(CONCATENATE("List!H$2:H$",#REF!)),
$A6,
INDIRECT(CONCATENATE("List!C$2:C$",#REF!)),#REF!)</f>
        <v>#REF!</v>
      </c>
      <c r="F6" s="14" t="e">
        <f ca="1" xml:space="preserve">
SUMIFS(
INDIRECT(CONCATENATE("List!E$2:E$",#REF!)),
INDIRECT(CONCATENATE("List!G$2:G$",#REF!)),
$A$1,
INDIRECT(CONCATENATE("List!H$2:H$",#REF!)),
$A6,
INDIRECT(CONCATENATE("List!C$2:C$",#REF!)),#REF!)</f>
        <v>#REF!</v>
      </c>
      <c r="G6" s="14" t="e">
        <f t="shared" ca="1" si="1"/>
        <v>#REF!</v>
      </c>
      <c r="H6" s="16" t="e">
        <f ca="1" xml:space="preserve">
SUMIFS(
INDIRECT(CONCATENATE("List!M$2:M$",#REF!)),
INDIRECT(CONCATENATE("List!G$2:G$",#REF!)),
$A$1,
INDIRECT(CONCATENATE("List!H$2:H$",#REF!)),
$A6,
INDIRECT(CONCATENATE("List!C$2:C$",#REF!)),#REF!)</f>
        <v>#REF!</v>
      </c>
    </row>
    <row r="7" spans="1:8" x14ac:dyDescent="0.2">
      <c r="A7" s="17">
        <v>5</v>
      </c>
      <c r="B7" s="14" t="e">
        <f ca="1" xml:space="preserve">
 COUNTIFS(
 INDIRECT(CONCATENATE("List!G$2:G$",#REF!)),
 $A$1,
 INDIRECT(CONCATENATE("List!H$2:H$",#REF!)),
 $A7,
 INDIRECT(CONCATENATE("List!C$2:C$",#REF!)),#REF!)</f>
        <v>#REF!</v>
      </c>
      <c r="C7" s="14" t="e">
        <f ca="1" xml:space="preserve">
 COUNTIFS(
 INDIRECT(CONCATENATE("List!G$2:G$",#REF!)),
 $A$1,
 INDIRECT(CONCATENATE("List!H$2:H$",#REF!)),
 $A7,
 INDIRECT(CONCATENATE("List!C$2:C$",#REF!)),#REF!)</f>
        <v>#REF!</v>
      </c>
      <c r="D7" s="14" t="e">
        <f t="shared" ca="1" si="0"/>
        <v>#REF!</v>
      </c>
      <c r="E7" s="14" t="e">
        <f ca="1" xml:space="preserve">
SUMIFS(
INDIRECT(CONCATENATE("List!E$2:E$",#REF!)),
INDIRECT(CONCATENATE("List!G$2:G$",#REF!)),
$A$1,
INDIRECT(CONCATENATE("List!H$2:H$",#REF!)),
$A7,
INDIRECT(CONCATENATE("List!C$2:C$",#REF!)),#REF!)</f>
        <v>#REF!</v>
      </c>
      <c r="F7" s="14" t="e">
        <f ca="1" xml:space="preserve">
SUMIFS(
INDIRECT(CONCATENATE("List!E$2:E$",#REF!)),
INDIRECT(CONCATENATE("List!G$2:G$",#REF!)),
$A$1,
INDIRECT(CONCATENATE("List!H$2:H$",#REF!)),
$A7,
INDIRECT(CONCATENATE("List!C$2:C$",#REF!)),#REF!)</f>
        <v>#REF!</v>
      </c>
      <c r="G7" s="14" t="e">
        <f t="shared" ca="1" si="1"/>
        <v>#REF!</v>
      </c>
      <c r="H7" s="16" t="e">
        <f ca="1" xml:space="preserve">
SUMIFS(
INDIRECT(CONCATENATE("List!M$2:M$",#REF!)),
INDIRECT(CONCATENATE("List!G$2:G$",#REF!)),
$A$1,
INDIRECT(CONCATENATE("List!H$2:H$",#REF!)),
$A7,
INDIRECT(CONCATENATE("List!C$2:C$",#REF!)),#REF!)</f>
        <v>#REF!</v>
      </c>
    </row>
    <row r="8" spans="1:8" x14ac:dyDescent="0.2">
      <c r="A8" s="17">
        <v>6</v>
      </c>
      <c r="B8" s="14" t="e">
        <f ca="1" xml:space="preserve">
 COUNTIFS(
 INDIRECT(CONCATENATE("List!G$2:G$",#REF!)),
 $A$1,
 INDIRECT(CONCATENATE("List!H$2:H$",#REF!)),
 $A8,
 INDIRECT(CONCATENATE("List!C$2:C$",#REF!)),#REF!)</f>
        <v>#REF!</v>
      </c>
      <c r="C8" s="14" t="e">
        <f ca="1" xml:space="preserve">
 COUNTIFS(
 INDIRECT(CONCATENATE("List!G$2:G$",#REF!)),
 $A$1,
 INDIRECT(CONCATENATE("List!H$2:H$",#REF!)),
 $A8,
 INDIRECT(CONCATENATE("List!C$2:C$",#REF!)),#REF!)</f>
        <v>#REF!</v>
      </c>
      <c r="D8" s="14" t="e">
        <f t="shared" ca="1" si="0"/>
        <v>#REF!</v>
      </c>
      <c r="E8" s="14" t="e">
        <f ca="1" xml:space="preserve">
SUMIFS(
INDIRECT(CONCATENATE("List!E$2:E$",#REF!)),
INDIRECT(CONCATENATE("List!G$2:G$",#REF!)),
$A$1,
INDIRECT(CONCATENATE("List!H$2:H$",#REF!)),
$A8,
INDIRECT(CONCATENATE("List!C$2:C$",#REF!)),#REF!)</f>
        <v>#REF!</v>
      </c>
      <c r="F8" s="14" t="e">
        <f ca="1" xml:space="preserve">
SUMIFS(
INDIRECT(CONCATENATE("List!E$2:E$",#REF!)),
INDIRECT(CONCATENATE("List!G$2:G$",#REF!)),
$A$1,
INDIRECT(CONCATENATE("List!H$2:H$",#REF!)),
$A8,
INDIRECT(CONCATENATE("List!C$2:C$",#REF!)),#REF!)</f>
        <v>#REF!</v>
      </c>
      <c r="G8" s="14" t="e">
        <f t="shared" ca="1" si="1"/>
        <v>#REF!</v>
      </c>
      <c r="H8" s="16" t="e">
        <f ca="1" xml:space="preserve">
SUMIFS(
INDIRECT(CONCATENATE("List!M$2:M$",#REF!)),
INDIRECT(CONCATENATE("List!G$2:G$",#REF!)),
$A$1,
INDIRECT(CONCATENATE("List!H$2:H$",#REF!)),
$A8,
INDIRECT(CONCATENATE("List!C$2:C$",#REF!)),#REF!)</f>
        <v>#REF!</v>
      </c>
    </row>
    <row r="9" spans="1:8" x14ac:dyDescent="0.2">
      <c r="A9" s="17">
        <v>7</v>
      </c>
      <c r="B9" s="14" t="e">
        <f ca="1" xml:space="preserve">
 COUNTIFS(
 INDIRECT(CONCATENATE("List!G$2:G$",#REF!)),
 $A$1,
 INDIRECT(CONCATENATE("List!H$2:H$",#REF!)),
 $A9,
 INDIRECT(CONCATENATE("List!C$2:C$",#REF!)),#REF!)</f>
        <v>#REF!</v>
      </c>
      <c r="C9" s="14" t="e">
        <f ca="1" xml:space="preserve">
 COUNTIFS(
 INDIRECT(CONCATENATE("List!G$2:G$",#REF!)),
 $A$1,
 INDIRECT(CONCATENATE("List!H$2:H$",#REF!)),
 $A9,
 INDIRECT(CONCATENATE("List!C$2:C$",#REF!)),#REF!)</f>
        <v>#REF!</v>
      </c>
      <c r="D9" s="14" t="e">
        <f t="shared" ca="1" si="0"/>
        <v>#REF!</v>
      </c>
      <c r="E9" s="14" t="e">
        <f ca="1" xml:space="preserve">
SUMIFS(
INDIRECT(CONCATENATE("List!E$2:E$",#REF!)),
INDIRECT(CONCATENATE("List!G$2:G$",#REF!)),
$A$1,
INDIRECT(CONCATENATE("List!H$2:H$",#REF!)),
$A9,
INDIRECT(CONCATENATE("List!C$2:C$",#REF!)),#REF!)</f>
        <v>#REF!</v>
      </c>
      <c r="F9" s="14" t="e">
        <f ca="1" xml:space="preserve">
SUMIFS(
INDIRECT(CONCATENATE("List!E$2:E$",#REF!)),
INDIRECT(CONCATENATE("List!G$2:G$",#REF!)),
$A$1,
INDIRECT(CONCATENATE("List!H$2:H$",#REF!)),
$A9,
INDIRECT(CONCATENATE("List!C$2:C$",#REF!)),#REF!)</f>
        <v>#REF!</v>
      </c>
      <c r="G9" s="14" t="e">
        <f t="shared" ca="1" si="1"/>
        <v>#REF!</v>
      </c>
      <c r="H9" s="16" t="e">
        <f ca="1" xml:space="preserve">
SUMIFS(
INDIRECT(CONCATENATE("List!M$2:M$",#REF!)),
INDIRECT(CONCATENATE("List!G$2:G$",#REF!)),
$A$1,
INDIRECT(CONCATENATE("List!H$2:H$",#REF!)),
$A9,
INDIRECT(CONCATENATE("List!C$2:C$",#REF!)),#REF!)</f>
        <v>#REF!</v>
      </c>
    </row>
    <row r="10" spans="1:8" x14ac:dyDescent="0.2">
      <c r="A10" s="17">
        <v>8</v>
      </c>
      <c r="B10" s="14" t="e">
        <f ca="1" xml:space="preserve">
 COUNTIFS(
 INDIRECT(CONCATENATE("List!G$2:G$",#REF!)),
 $A$1,
 INDIRECT(CONCATENATE("List!H$2:H$",#REF!)),
 $A10,
 INDIRECT(CONCATENATE("List!C$2:C$",#REF!)),#REF!)</f>
        <v>#REF!</v>
      </c>
      <c r="C10" s="14" t="e">
        <f ca="1" xml:space="preserve">
 COUNTIFS(
 INDIRECT(CONCATENATE("List!G$2:G$",#REF!)),
 $A$1,
 INDIRECT(CONCATENATE("List!H$2:H$",#REF!)),
 $A10,
 INDIRECT(CONCATENATE("List!C$2:C$",#REF!)),#REF!)</f>
        <v>#REF!</v>
      </c>
      <c r="D10" s="14" t="e">
        <f t="shared" ca="1" si="0"/>
        <v>#REF!</v>
      </c>
      <c r="E10" s="14" t="e">
        <f ca="1" xml:space="preserve">
SUMIFS(
INDIRECT(CONCATENATE("List!E$2:E$",#REF!)),
INDIRECT(CONCATENATE("List!G$2:G$",#REF!)),
$A$1,
INDIRECT(CONCATENATE("List!H$2:H$",#REF!)),
$A10,
INDIRECT(CONCATENATE("List!C$2:C$",#REF!)),#REF!)</f>
        <v>#REF!</v>
      </c>
      <c r="F10" s="14" t="e">
        <f ca="1" xml:space="preserve">
SUMIFS(
INDIRECT(CONCATENATE("List!E$2:E$",#REF!)),
INDIRECT(CONCATENATE("List!G$2:G$",#REF!)),
$A$1,
INDIRECT(CONCATENATE("List!H$2:H$",#REF!)),
$A10,
INDIRECT(CONCATENATE("List!C$2:C$",#REF!)),#REF!)</f>
        <v>#REF!</v>
      </c>
      <c r="G10" s="14" t="e">
        <f t="shared" ca="1" si="1"/>
        <v>#REF!</v>
      </c>
      <c r="H10" s="16" t="e">
        <f ca="1" xml:space="preserve">
SUMIFS(
INDIRECT(CONCATENATE("List!M$2:M$",#REF!)),
INDIRECT(CONCATENATE("List!G$2:G$",#REF!)),
$A$1,
INDIRECT(CONCATENATE("List!H$2:H$",#REF!)),
$A10,
INDIRECT(CONCATENATE("List!C$2:C$",#REF!)),#REF!)</f>
        <v>#REF!</v>
      </c>
    </row>
    <row r="11" spans="1:8" x14ac:dyDescent="0.2">
      <c r="A11" s="17">
        <v>9</v>
      </c>
      <c r="B11" s="14" t="e">
        <f ca="1" xml:space="preserve">
 COUNTIFS(
 INDIRECT(CONCATENATE("List!G$2:G$",#REF!)),
 $A$1,
 INDIRECT(CONCATENATE("List!H$2:H$",#REF!)),
 $A11,
 INDIRECT(CONCATENATE("List!C$2:C$",#REF!)),#REF!)</f>
        <v>#REF!</v>
      </c>
      <c r="C11" s="14" t="e">
        <f ca="1" xml:space="preserve">
 COUNTIFS(
 INDIRECT(CONCATENATE("List!G$2:G$",#REF!)),
 $A$1,
 INDIRECT(CONCATENATE("List!H$2:H$",#REF!)),
 $A11,
 INDIRECT(CONCATENATE("List!C$2:C$",#REF!)),#REF!)</f>
        <v>#REF!</v>
      </c>
      <c r="D11" s="14" t="e">
        <f t="shared" ca="1" si="0"/>
        <v>#REF!</v>
      </c>
      <c r="E11" s="14" t="e">
        <f ca="1" xml:space="preserve">
SUMIFS(
INDIRECT(CONCATENATE("List!E$2:E$",#REF!)),
INDIRECT(CONCATENATE("List!G$2:G$",#REF!)),
$A$1,
INDIRECT(CONCATENATE("List!H$2:H$",#REF!)),
$A11,
INDIRECT(CONCATENATE("List!C$2:C$",#REF!)),#REF!)</f>
        <v>#REF!</v>
      </c>
      <c r="F11" s="14" t="e">
        <f ca="1" xml:space="preserve">
SUMIFS(
INDIRECT(CONCATENATE("List!E$2:E$",#REF!)),
INDIRECT(CONCATENATE("List!G$2:G$",#REF!)),
$A$1,
INDIRECT(CONCATENATE("List!H$2:H$",#REF!)),
$A11,
INDIRECT(CONCATENATE("List!C$2:C$",#REF!)),#REF!)</f>
        <v>#REF!</v>
      </c>
      <c r="G11" s="14" t="e">
        <f t="shared" ca="1" si="1"/>
        <v>#REF!</v>
      </c>
      <c r="H11" s="16" t="e">
        <f ca="1" xml:space="preserve">
SUMIFS(
INDIRECT(CONCATENATE("List!M$2:M$",#REF!)),
INDIRECT(CONCATENATE("List!G$2:G$",#REF!)),
$A$1,
INDIRECT(CONCATENATE("List!H$2:H$",#REF!)),
$A11,
INDIRECT(CONCATENATE("List!C$2:C$",#REF!)),#REF!)</f>
        <v>#REF!</v>
      </c>
    </row>
    <row r="12" spans="1:8" x14ac:dyDescent="0.2">
      <c r="A12" s="17">
        <v>10</v>
      </c>
      <c r="B12" s="14" t="e">
        <f ca="1" xml:space="preserve">
 COUNTIFS(
 INDIRECT(CONCATENATE("List!G$2:G$",#REF!)),
 $A$1,
 INDIRECT(CONCATENATE("List!H$2:H$",#REF!)),
 $A12,
 INDIRECT(CONCATENATE("List!C$2:C$",#REF!)),#REF!)</f>
        <v>#REF!</v>
      </c>
      <c r="C12" s="14" t="e">
        <f ca="1" xml:space="preserve">
 COUNTIFS(
 INDIRECT(CONCATENATE("List!G$2:G$",#REF!)),
 $A$1,
 INDIRECT(CONCATENATE("List!H$2:H$",#REF!)),
 $A12,
 INDIRECT(CONCATENATE("List!C$2:C$",#REF!)),#REF!)</f>
        <v>#REF!</v>
      </c>
      <c r="D12" s="14" t="e">
        <f t="shared" ca="1" si="0"/>
        <v>#REF!</v>
      </c>
      <c r="E12" s="14" t="e">
        <f ca="1" xml:space="preserve">
SUMIFS(
INDIRECT(CONCATENATE("List!E$2:E$",#REF!)),
INDIRECT(CONCATENATE("List!G$2:G$",#REF!)),
$A$1,
INDIRECT(CONCATENATE("List!H$2:H$",#REF!)),
$A12,
INDIRECT(CONCATENATE("List!C$2:C$",#REF!)),#REF!)</f>
        <v>#REF!</v>
      </c>
      <c r="F12" s="14" t="e">
        <f ca="1" xml:space="preserve">
SUMIFS(
INDIRECT(CONCATENATE("List!E$2:E$",#REF!)),
INDIRECT(CONCATENATE("List!G$2:G$",#REF!)),
$A$1,
INDIRECT(CONCATENATE("List!H$2:H$",#REF!)),
$A12,
INDIRECT(CONCATENATE("List!C$2:C$",#REF!)),#REF!)</f>
        <v>#REF!</v>
      </c>
      <c r="G12" s="14" t="e">
        <f t="shared" ca="1" si="1"/>
        <v>#REF!</v>
      </c>
      <c r="H12" s="16" t="e">
        <f ca="1" xml:space="preserve">
SUMIFS(
INDIRECT(CONCATENATE("List!M$2:M$",#REF!)),
INDIRECT(CONCATENATE("List!G$2:G$",#REF!)),
$A$1,
INDIRECT(CONCATENATE("List!H$2:H$",#REF!)),
$A12,
INDIRECT(CONCATENATE("List!C$2:C$",#REF!)),#REF!)</f>
        <v>#REF!</v>
      </c>
    </row>
    <row r="13" spans="1:8" x14ac:dyDescent="0.2">
      <c r="A13" s="17">
        <v>11</v>
      </c>
      <c r="B13" s="14" t="e">
        <f ca="1" xml:space="preserve">
 COUNTIFS(
 INDIRECT(CONCATENATE("List!G$2:G$",#REF!)),
 $A$1,
 INDIRECT(CONCATENATE("List!H$2:H$",#REF!)),
 $A13,
 INDIRECT(CONCATENATE("List!C$2:C$",#REF!)),#REF!)</f>
        <v>#REF!</v>
      </c>
      <c r="C13" s="14" t="e">
        <f ca="1" xml:space="preserve">
 COUNTIFS(
 INDIRECT(CONCATENATE("List!G$2:G$",#REF!)),
 $A$1,
 INDIRECT(CONCATENATE("List!H$2:H$",#REF!)),
 $A13,
 INDIRECT(CONCATENATE("List!C$2:C$",#REF!)),#REF!)</f>
        <v>#REF!</v>
      </c>
      <c r="D13" s="14" t="e">
        <f t="shared" ca="1" si="0"/>
        <v>#REF!</v>
      </c>
      <c r="E13" s="14" t="e">
        <f ca="1" xml:space="preserve">
SUMIFS(
INDIRECT(CONCATENATE("List!E$2:E$",#REF!)),
INDIRECT(CONCATENATE("List!G$2:G$",#REF!)),
$A$1,
INDIRECT(CONCATENATE("List!H$2:H$",#REF!)),
$A13,
INDIRECT(CONCATENATE("List!C$2:C$",#REF!)),#REF!)</f>
        <v>#REF!</v>
      </c>
      <c r="F13" s="14" t="e">
        <f ca="1" xml:space="preserve">
SUMIFS(
INDIRECT(CONCATENATE("List!E$2:E$",#REF!)),
INDIRECT(CONCATENATE("List!G$2:G$",#REF!)),
$A$1,
INDIRECT(CONCATENATE("List!H$2:H$",#REF!)),
$A13,
INDIRECT(CONCATENATE("List!C$2:C$",#REF!)),#REF!)</f>
        <v>#REF!</v>
      </c>
      <c r="G13" s="14" t="e">
        <f t="shared" ca="1" si="1"/>
        <v>#REF!</v>
      </c>
      <c r="H13" s="16" t="e">
        <f ca="1" xml:space="preserve">
SUMIFS(
INDIRECT(CONCATENATE("List!M$2:M$",#REF!)),
INDIRECT(CONCATENATE("List!G$2:G$",#REF!)),
$A$1,
INDIRECT(CONCATENATE("List!H$2:H$",#REF!)),
$A13,
INDIRECT(CONCATENATE("List!C$2:C$",#REF!)),#REF!)</f>
        <v>#REF!</v>
      </c>
    </row>
    <row r="14" spans="1:8" x14ac:dyDescent="0.2">
      <c r="A14" s="17">
        <v>12</v>
      </c>
      <c r="B14" s="14" t="e">
        <f ca="1" xml:space="preserve">
 COUNTIFS(
 INDIRECT(CONCATENATE("List!G$2:G$",#REF!)),
 $A$1,
 INDIRECT(CONCATENATE("List!H$2:H$",#REF!)),
 $A14,
 INDIRECT(CONCATENATE("List!C$2:C$",#REF!)),#REF!)</f>
        <v>#REF!</v>
      </c>
      <c r="C14" s="14" t="e">
        <f ca="1" xml:space="preserve">
 COUNTIFS(
 INDIRECT(CONCATENATE("List!G$2:G$",#REF!)),
 $A$1,
 INDIRECT(CONCATENATE("List!H$2:H$",#REF!)),
 $A14,
 INDIRECT(CONCATENATE("List!C$2:C$",#REF!)),#REF!)</f>
        <v>#REF!</v>
      </c>
      <c r="D14" s="14" t="e">
        <f t="shared" ca="1" si="0"/>
        <v>#REF!</v>
      </c>
      <c r="E14" s="14" t="e">
        <f ca="1" xml:space="preserve">
SUMIFS(
INDIRECT(CONCATENATE("List!E$2:E$",#REF!)),
INDIRECT(CONCATENATE("List!G$2:G$",#REF!)),
$A$1,
INDIRECT(CONCATENATE("List!H$2:H$",#REF!)),
$A14,
INDIRECT(CONCATENATE("List!C$2:C$",#REF!)),#REF!)</f>
        <v>#REF!</v>
      </c>
      <c r="F14" s="14" t="e">
        <f ca="1" xml:space="preserve">
SUMIFS(
INDIRECT(CONCATENATE("List!E$2:E$",#REF!)),
INDIRECT(CONCATENATE("List!G$2:G$",#REF!)),
$A$1,
INDIRECT(CONCATENATE("List!H$2:H$",#REF!)),
$A14,
INDIRECT(CONCATENATE("List!C$2:C$",#REF!)),#REF!)</f>
        <v>#REF!</v>
      </c>
      <c r="G14" s="14" t="e">
        <f t="shared" ca="1" si="1"/>
        <v>#REF!</v>
      </c>
      <c r="H14" s="16" t="e">
        <f ca="1" xml:space="preserve">
SUMIFS(
INDIRECT(CONCATENATE("List!M$2:M$",#REF!)),
INDIRECT(CONCATENATE("List!G$2:G$",#REF!)),
$A$1,
INDIRECT(CONCATENATE("List!H$2:H$",#REF!)),
$A14,
INDIRECT(CONCATENATE("List!C$2:C$",#REF!)),#REF!)</f>
        <v>#REF!</v>
      </c>
    </row>
    <row r="15" spans="1:8" x14ac:dyDescent="0.2">
      <c r="A15" s="3"/>
      <c r="B15" s="3"/>
      <c r="C15" s="3"/>
      <c r="D15" s="3"/>
      <c r="E15" s="3"/>
      <c r="F15" s="3"/>
      <c r="G15" s="3"/>
      <c r="H15" s="3"/>
    </row>
    <row r="16" spans="1:8" x14ac:dyDescent="0.2">
      <c r="A16" s="18" t="s">
        <v>361</v>
      </c>
      <c r="B16" s="20" t="e">
        <f ca="1">SUM(B3:B14)</f>
        <v>#REF!</v>
      </c>
      <c r="C16" s="20" t="e">
        <f t="shared" ref="C16:H16" ca="1" si="2">SUM(C3:C14)</f>
        <v>#REF!</v>
      </c>
      <c r="D16" s="20" t="e">
        <f t="shared" ca="1" si="2"/>
        <v>#REF!</v>
      </c>
      <c r="E16" s="20" t="e">
        <f t="shared" ca="1" si="2"/>
        <v>#REF!</v>
      </c>
      <c r="F16" s="20" t="e">
        <f t="shared" ca="1" si="2"/>
        <v>#REF!</v>
      </c>
      <c r="G16" s="20" t="e">
        <f t="shared" ca="1" si="2"/>
        <v>#REF!</v>
      </c>
      <c r="H16" s="21" t="e">
        <f t="shared" ca="1" si="2"/>
        <v>#REF!</v>
      </c>
    </row>
  </sheetData>
  <mergeCells count="1">
    <mergeCell ref="A1:H1"/>
  </mergeCells>
  <conditionalFormatting sqref="B3:B14">
    <cfRule type="colorScale" priority="5">
      <colorScale>
        <cfvo type="min"/>
        <cfvo type="percentile" val="50"/>
        <cfvo type="max"/>
        <color rgb="FFF8696B"/>
        <color rgb="FFFFEB84"/>
        <color rgb="FF63BE7B"/>
      </colorScale>
    </cfRule>
  </conditionalFormatting>
  <conditionalFormatting sqref="C3:C14">
    <cfRule type="colorScale" priority="4">
      <colorScale>
        <cfvo type="min"/>
        <cfvo type="percentile" val="50"/>
        <cfvo type="max"/>
        <color rgb="FFF8696B"/>
        <color rgb="FFFFEB84"/>
        <color rgb="FF63BE7B"/>
      </colorScale>
    </cfRule>
  </conditionalFormatting>
  <conditionalFormatting sqref="E3:E14">
    <cfRule type="colorScale" priority="3">
      <colorScale>
        <cfvo type="min"/>
        <cfvo type="percentile" val="50"/>
        <cfvo type="max"/>
        <color rgb="FFF8696B"/>
        <color rgb="FFFFEB84"/>
        <color rgb="FF63BE7B"/>
      </colorScale>
    </cfRule>
  </conditionalFormatting>
  <conditionalFormatting sqref="F3:F14">
    <cfRule type="colorScale" priority="2">
      <colorScale>
        <cfvo type="min"/>
        <cfvo type="percentile" val="50"/>
        <cfvo type="max"/>
        <color rgb="FFF8696B"/>
        <color rgb="FFFFEB84"/>
        <color rgb="FF63BE7B"/>
      </colorScale>
    </cfRule>
  </conditionalFormatting>
  <conditionalFormatting sqref="H3:H1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5"/>
  <dimension ref="A1:H16"/>
  <sheetViews>
    <sheetView workbookViewId="0">
      <selection activeCell="M24" sqref="M24"/>
    </sheetView>
  </sheetViews>
  <sheetFormatPr defaultColWidth="8.85546875" defaultRowHeight="12" x14ac:dyDescent="0.2"/>
  <cols>
    <col min="1" max="16384" width="8.85546875" style="30"/>
  </cols>
  <sheetData>
    <row r="1" spans="1:8" ht="14.45" customHeight="1" x14ac:dyDescent="0.2">
      <c r="A1" s="42">
        <v>2021</v>
      </c>
      <c r="B1" s="42"/>
      <c r="C1" s="42"/>
      <c r="D1" s="42"/>
      <c r="E1" s="42"/>
      <c r="F1" s="42"/>
      <c r="G1" s="42"/>
      <c r="H1" s="43"/>
    </row>
    <row r="2" spans="1:8" x14ac:dyDescent="0.2">
      <c r="A2" s="18" t="s">
        <v>360</v>
      </c>
      <c r="B2" s="18" t="s">
        <v>365</v>
      </c>
      <c r="C2" s="18" t="s">
        <v>366</v>
      </c>
      <c r="D2" s="18" t="s">
        <v>361</v>
      </c>
      <c r="E2" s="18" t="s">
        <v>574</v>
      </c>
      <c r="F2" s="18" t="s">
        <v>573</v>
      </c>
      <c r="G2" s="18" t="s">
        <v>572</v>
      </c>
      <c r="H2" s="18" t="s">
        <v>575</v>
      </c>
    </row>
    <row r="3" spans="1:8" x14ac:dyDescent="0.2">
      <c r="A3" s="17">
        <v>1</v>
      </c>
      <c r="B3" s="14" t="e">
        <f ca="1" xml:space="preserve">
 COUNTIFS(
 INDIRECT(CONCATENATE("List!G$2:G$",#REF!)),
 $A$1,
 INDIRECT(CONCATENATE("List!H$2:H$",#REF!)),
 $A3,
 INDIRECT(CONCATENATE("List!C$2:C$",#REF!)),#REF!)</f>
        <v>#REF!</v>
      </c>
      <c r="C3" s="14" t="e">
        <f ca="1" xml:space="preserve">
 COUNTIFS(
 INDIRECT(CONCATENATE("List!G$2:G$",#REF!)),
 $A$1,
 INDIRECT(CONCATENATE("List!H$2:H$",#REF!)),
 $A3,
 INDIRECT(CONCATENATE("List!C$2:C$",#REF!)),#REF!)</f>
        <v>#REF!</v>
      </c>
      <c r="D3" s="14" t="e">
        <f ca="1">SUM(B3,C3)</f>
        <v>#REF!</v>
      </c>
      <c r="E3" s="14" t="e">
        <f ca="1" xml:space="preserve">
SUMIFS(
INDIRECT(CONCATENATE("List!E$2:E$",#REF!)),
INDIRECT(CONCATENATE("List!G$2:G$",#REF!)),
$A$1,
INDIRECT(CONCATENATE("List!H$2:H$",#REF!)),
$A3,
INDIRECT(CONCATENATE("List!C$2:C$",#REF!)),#REF!)</f>
        <v>#REF!</v>
      </c>
      <c r="F3" s="14" t="e">
        <f ca="1" xml:space="preserve">
SUMIFS(
INDIRECT(CONCATENATE("List!E$2:E$",#REF!)),
INDIRECT(CONCATENATE("List!G$2:G$",#REF!)),
$A$1,
INDIRECT(CONCATENATE("List!H$2:H$",#REF!)),
$A3,
INDIRECT(CONCATENATE("List!C$2:C$",#REF!)),#REF!)</f>
        <v>#REF!</v>
      </c>
      <c r="G3" s="14" t="e">
        <f ca="1">SUM(E3,F3)</f>
        <v>#REF!</v>
      </c>
      <c r="H3" s="16" t="e">
        <f ca="1" xml:space="preserve">
SUMIFS(
INDIRECT(CONCATENATE("List!M$2:M$",#REF!)),
INDIRECT(CONCATENATE("List!G$2:G$",#REF!)),
$A$1,
INDIRECT(CONCATENATE("List!H$2:H$",#REF!)),
$A3,
INDIRECT(CONCATENATE("List!C$2:C$",#REF!)),#REF!)</f>
        <v>#REF!</v>
      </c>
    </row>
    <row r="4" spans="1:8" x14ac:dyDescent="0.2">
      <c r="A4" s="17">
        <v>2</v>
      </c>
      <c r="B4" s="14" t="e">
        <f ca="1" xml:space="preserve">
 COUNTIFS(
 INDIRECT(CONCATENATE("List!G$2:G$",#REF!)),
 $A$1,
 INDIRECT(CONCATENATE("List!H$2:H$",#REF!)),
 $A4,
 INDIRECT(CONCATENATE("List!C$2:C$",#REF!)),#REF!)</f>
        <v>#REF!</v>
      </c>
      <c r="C4" s="14" t="e">
        <f ca="1" xml:space="preserve">
 COUNTIFS(
 INDIRECT(CONCATENATE("List!G$2:G$",#REF!)),
 $A$1,
 INDIRECT(CONCATENATE("List!H$2:H$",#REF!)),
 $A4,
 INDIRECT(CONCATENATE("List!C$2:C$",#REF!)),#REF!)</f>
        <v>#REF!</v>
      </c>
      <c r="D4" s="14" t="e">
        <f t="shared" ref="D4:D14" ca="1" si="0">SUM(B4,C4)</f>
        <v>#REF!</v>
      </c>
      <c r="E4" s="14" t="e">
        <f ca="1" xml:space="preserve">
SUMIFS(
INDIRECT(CONCATENATE("List!E$2:E$",#REF!)),
INDIRECT(CONCATENATE("List!G$2:G$",#REF!)),
$A$1,
INDIRECT(CONCATENATE("List!H$2:H$",#REF!)),
$A4,
INDIRECT(CONCATENATE("List!C$2:C$",#REF!)),#REF!)</f>
        <v>#REF!</v>
      </c>
      <c r="F4" s="14" t="e">
        <f ca="1" xml:space="preserve">
SUMIFS(
INDIRECT(CONCATENATE("List!E$2:E$",#REF!)),
INDIRECT(CONCATENATE("List!G$2:G$",#REF!)),
$A$1,
INDIRECT(CONCATENATE("List!H$2:H$",#REF!)),
$A4,
INDIRECT(CONCATENATE("List!C$2:C$",#REF!)),#REF!)</f>
        <v>#REF!</v>
      </c>
      <c r="G4" s="14" t="e">
        <f t="shared" ref="G4:G14" ca="1" si="1">SUM(E4,F4)</f>
        <v>#REF!</v>
      </c>
      <c r="H4" s="16" t="e">
        <f ca="1" xml:space="preserve">
SUMIFS(
INDIRECT(CONCATENATE("List!M$2:M$",#REF!)),
INDIRECT(CONCATENATE("List!G$2:G$",#REF!)),
$A$1,
INDIRECT(CONCATENATE("List!H$2:H$",#REF!)),
$A4,
INDIRECT(CONCATENATE("List!C$2:C$",#REF!)),#REF!)</f>
        <v>#REF!</v>
      </c>
    </row>
    <row r="5" spans="1:8" x14ac:dyDescent="0.2">
      <c r="A5" s="17">
        <v>3</v>
      </c>
      <c r="B5" s="14" t="e">
        <f ca="1" xml:space="preserve">
 COUNTIFS(
 INDIRECT(CONCATENATE("List!G$2:G$",#REF!)),
 $A$1,
 INDIRECT(CONCATENATE("List!H$2:H$",#REF!)),
 $A5,
 INDIRECT(CONCATENATE("List!C$2:C$",#REF!)),#REF!)</f>
        <v>#REF!</v>
      </c>
      <c r="C5" s="14" t="e">
        <f ca="1" xml:space="preserve">
 COUNTIFS(
 INDIRECT(CONCATENATE("List!G$2:G$",#REF!)),
 $A$1,
 INDIRECT(CONCATENATE("List!H$2:H$",#REF!)),
 $A5,
 INDIRECT(CONCATENATE("List!C$2:C$",#REF!)),#REF!)</f>
        <v>#REF!</v>
      </c>
      <c r="D5" s="14" t="e">
        <f t="shared" ca="1" si="0"/>
        <v>#REF!</v>
      </c>
      <c r="E5" s="14" t="e">
        <f ca="1" xml:space="preserve">
SUMIFS(
INDIRECT(CONCATENATE("List!E$2:E$",#REF!)),
INDIRECT(CONCATENATE("List!G$2:G$",#REF!)),
$A$1,
INDIRECT(CONCATENATE("List!H$2:H$",#REF!)),
$A5,
INDIRECT(CONCATENATE("List!C$2:C$",#REF!)),#REF!)</f>
        <v>#REF!</v>
      </c>
      <c r="F5" s="14" t="e">
        <f ca="1" xml:space="preserve">
SUMIFS(
INDIRECT(CONCATENATE("List!E$2:E$",#REF!)),
INDIRECT(CONCATENATE("List!G$2:G$",#REF!)),
$A$1,
INDIRECT(CONCATENATE("List!H$2:H$",#REF!)),
$A5,
INDIRECT(CONCATENATE("List!C$2:C$",#REF!)),#REF!)</f>
        <v>#REF!</v>
      </c>
      <c r="G5" s="14" t="e">
        <f t="shared" ca="1" si="1"/>
        <v>#REF!</v>
      </c>
      <c r="H5" s="16" t="e">
        <f ca="1" xml:space="preserve">
SUMIFS(
INDIRECT(CONCATENATE("List!M$2:M$",#REF!)),
INDIRECT(CONCATENATE("List!G$2:G$",#REF!)),
$A$1,
INDIRECT(CONCATENATE("List!H$2:H$",#REF!)),
$A5,
INDIRECT(CONCATENATE("List!C$2:C$",#REF!)),#REF!)</f>
        <v>#REF!</v>
      </c>
    </row>
    <row r="6" spans="1:8" x14ac:dyDescent="0.2">
      <c r="A6" s="17">
        <v>4</v>
      </c>
      <c r="B6" s="14" t="e">
        <f ca="1" xml:space="preserve">
 COUNTIFS(
 INDIRECT(CONCATENATE("List!G$2:G$",#REF!)),
 $A$1,
 INDIRECT(CONCATENATE("List!H$2:H$",#REF!)),
 $A6,
 INDIRECT(CONCATENATE("List!C$2:C$",#REF!)),#REF!)</f>
        <v>#REF!</v>
      </c>
      <c r="C6" s="14" t="e">
        <f ca="1" xml:space="preserve">
 COUNTIFS(
 INDIRECT(CONCATENATE("List!G$2:G$",#REF!)),
 $A$1,
 INDIRECT(CONCATENATE("List!H$2:H$",#REF!)),
 $A6,
 INDIRECT(CONCATENATE("List!C$2:C$",#REF!)),#REF!)</f>
        <v>#REF!</v>
      </c>
      <c r="D6" s="14" t="e">
        <f t="shared" ca="1" si="0"/>
        <v>#REF!</v>
      </c>
      <c r="E6" s="14" t="e">
        <f ca="1" xml:space="preserve">
SUMIFS(
INDIRECT(CONCATENATE("List!E$2:E$",#REF!)),
INDIRECT(CONCATENATE("List!G$2:G$",#REF!)),
$A$1,
INDIRECT(CONCATENATE("List!H$2:H$",#REF!)),
$A6,
INDIRECT(CONCATENATE("List!C$2:C$",#REF!)),#REF!)</f>
        <v>#REF!</v>
      </c>
      <c r="F6" s="14" t="e">
        <f ca="1" xml:space="preserve">
SUMIFS(
INDIRECT(CONCATENATE("List!E$2:E$",#REF!)),
INDIRECT(CONCATENATE("List!G$2:G$",#REF!)),
$A$1,
INDIRECT(CONCATENATE("List!H$2:H$",#REF!)),
$A6,
INDIRECT(CONCATENATE("List!C$2:C$",#REF!)),#REF!)</f>
        <v>#REF!</v>
      </c>
      <c r="G6" s="14" t="e">
        <f t="shared" ca="1" si="1"/>
        <v>#REF!</v>
      </c>
      <c r="H6" s="16" t="e">
        <f ca="1" xml:space="preserve">
SUMIFS(
INDIRECT(CONCATENATE("List!M$2:M$",#REF!)),
INDIRECT(CONCATENATE("List!G$2:G$",#REF!)),
$A$1,
INDIRECT(CONCATENATE("List!H$2:H$",#REF!)),
$A6,
INDIRECT(CONCATENATE("List!C$2:C$",#REF!)),#REF!)</f>
        <v>#REF!</v>
      </c>
    </row>
    <row r="7" spans="1:8" x14ac:dyDescent="0.2">
      <c r="A7" s="17">
        <v>5</v>
      </c>
      <c r="B7" s="14" t="e">
        <f ca="1" xml:space="preserve">
 COUNTIFS(
 INDIRECT(CONCATENATE("List!G$2:G$",#REF!)),
 $A$1,
 INDIRECT(CONCATENATE("List!H$2:H$",#REF!)),
 $A7,
 INDIRECT(CONCATENATE("List!C$2:C$",#REF!)),#REF!)</f>
        <v>#REF!</v>
      </c>
      <c r="C7" s="14" t="e">
        <f ca="1" xml:space="preserve">
 COUNTIFS(
 INDIRECT(CONCATENATE("List!G$2:G$",#REF!)),
 $A$1,
 INDIRECT(CONCATENATE("List!H$2:H$",#REF!)),
 $A7,
 INDIRECT(CONCATENATE("List!C$2:C$",#REF!)),#REF!)</f>
        <v>#REF!</v>
      </c>
      <c r="D7" s="14" t="e">
        <f t="shared" ca="1" si="0"/>
        <v>#REF!</v>
      </c>
      <c r="E7" s="14" t="e">
        <f ca="1" xml:space="preserve">
SUMIFS(
INDIRECT(CONCATENATE("List!E$2:E$",#REF!)),
INDIRECT(CONCATENATE("List!G$2:G$",#REF!)),
$A$1,
INDIRECT(CONCATENATE("List!H$2:H$",#REF!)),
$A7,
INDIRECT(CONCATENATE("List!C$2:C$",#REF!)),#REF!)</f>
        <v>#REF!</v>
      </c>
      <c r="F7" s="14" t="e">
        <f ca="1" xml:space="preserve">
SUMIFS(
INDIRECT(CONCATENATE("List!E$2:E$",#REF!)),
INDIRECT(CONCATENATE("List!G$2:G$",#REF!)),
$A$1,
INDIRECT(CONCATENATE("List!H$2:H$",#REF!)),
$A7,
INDIRECT(CONCATENATE("List!C$2:C$",#REF!)),#REF!)</f>
        <v>#REF!</v>
      </c>
      <c r="G7" s="14" t="e">
        <f t="shared" ca="1" si="1"/>
        <v>#REF!</v>
      </c>
      <c r="H7" s="16" t="e">
        <f ca="1" xml:space="preserve">
SUMIFS(
INDIRECT(CONCATENATE("List!M$2:M$",#REF!)),
INDIRECT(CONCATENATE("List!G$2:G$",#REF!)),
$A$1,
INDIRECT(CONCATENATE("List!H$2:H$",#REF!)),
$A7,
INDIRECT(CONCATENATE("List!C$2:C$",#REF!)),#REF!)</f>
        <v>#REF!</v>
      </c>
    </row>
    <row r="8" spans="1:8" x14ac:dyDescent="0.2">
      <c r="A8" s="17">
        <v>6</v>
      </c>
      <c r="B8" s="14" t="e">
        <f ca="1" xml:space="preserve">
 COUNTIFS(
 INDIRECT(CONCATENATE("List!G$2:G$",#REF!)),
 $A$1,
 INDIRECT(CONCATENATE("List!H$2:H$",#REF!)),
 $A8,
 INDIRECT(CONCATENATE("List!C$2:C$",#REF!)),#REF!)</f>
        <v>#REF!</v>
      </c>
      <c r="C8" s="14" t="e">
        <f ca="1" xml:space="preserve">
 COUNTIFS(
 INDIRECT(CONCATENATE("List!G$2:G$",#REF!)),
 $A$1,
 INDIRECT(CONCATENATE("List!H$2:H$",#REF!)),
 $A8,
 INDIRECT(CONCATENATE("List!C$2:C$",#REF!)),#REF!)</f>
        <v>#REF!</v>
      </c>
      <c r="D8" s="14" t="e">
        <f t="shared" ca="1" si="0"/>
        <v>#REF!</v>
      </c>
      <c r="E8" s="14" t="e">
        <f ca="1" xml:space="preserve">
SUMIFS(
INDIRECT(CONCATENATE("List!E$2:E$",#REF!)),
INDIRECT(CONCATENATE("List!G$2:G$",#REF!)),
$A$1,
INDIRECT(CONCATENATE("List!H$2:H$",#REF!)),
$A8,
INDIRECT(CONCATENATE("List!C$2:C$",#REF!)),#REF!)</f>
        <v>#REF!</v>
      </c>
      <c r="F8" s="14" t="e">
        <f ca="1" xml:space="preserve">
SUMIFS(
INDIRECT(CONCATENATE("List!E$2:E$",#REF!)),
INDIRECT(CONCATENATE("List!G$2:G$",#REF!)),
$A$1,
INDIRECT(CONCATENATE("List!H$2:H$",#REF!)),
$A8,
INDIRECT(CONCATENATE("List!C$2:C$",#REF!)),#REF!)</f>
        <v>#REF!</v>
      </c>
      <c r="G8" s="14" t="e">
        <f t="shared" ca="1" si="1"/>
        <v>#REF!</v>
      </c>
      <c r="H8" s="16" t="e">
        <f ca="1" xml:space="preserve">
SUMIFS(
INDIRECT(CONCATENATE("List!M$2:M$",#REF!)),
INDIRECT(CONCATENATE("List!G$2:G$",#REF!)),
$A$1,
INDIRECT(CONCATENATE("List!H$2:H$",#REF!)),
$A8,
INDIRECT(CONCATENATE("List!C$2:C$",#REF!)),#REF!)</f>
        <v>#REF!</v>
      </c>
    </row>
    <row r="9" spans="1:8" x14ac:dyDescent="0.2">
      <c r="A9" s="17">
        <v>7</v>
      </c>
      <c r="B9" s="14" t="e">
        <f ca="1" xml:space="preserve">
 COUNTIFS(
 INDIRECT(CONCATENATE("List!G$2:G$",#REF!)),
 $A$1,
 INDIRECT(CONCATENATE("List!H$2:H$",#REF!)),
 $A9,
 INDIRECT(CONCATENATE("List!C$2:C$",#REF!)),#REF!)</f>
        <v>#REF!</v>
      </c>
      <c r="C9" s="14" t="e">
        <f ca="1" xml:space="preserve">
 COUNTIFS(
 INDIRECT(CONCATENATE("List!G$2:G$",#REF!)),
 $A$1,
 INDIRECT(CONCATENATE("List!H$2:H$",#REF!)),
 $A9,
 INDIRECT(CONCATENATE("List!C$2:C$",#REF!)),#REF!)</f>
        <v>#REF!</v>
      </c>
      <c r="D9" s="14" t="e">
        <f t="shared" ca="1" si="0"/>
        <v>#REF!</v>
      </c>
      <c r="E9" s="14" t="e">
        <f ca="1" xml:space="preserve">
SUMIFS(
INDIRECT(CONCATENATE("List!E$2:E$",#REF!)),
INDIRECT(CONCATENATE("List!G$2:G$",#REF!)),
$A$1,
INDIRECT(CONCATENATE("List!H$2:H$",#REF!)),
$A9,
INDIRECT(CONCATENATE("List!C$2:C$",#REF!)),#REF!)</f>
        <v>#REF!</v>
      </c>
      <c r="F9" s="14" t="e">
        <f ca="1" xml:space="preserve">
SUMIFS(
INDIRECT(CONCATENATE("List!E$2:E$",#REF!)),
INDIRECT(CONCATENATE("List!G$2:G$",#REF!)),
$A$1,
INDIRECT(CONCATENATE("List!H$2:H$",#REF!)),
$A9,
INDIRECT(CONCATENATE("List!C$2:C$",#REF!)),#REF!)</f>
        <v>#REF!</v>
      </c>
      <c r="G9" s="14" t="e">
        <f t="shared" ca="1" si="1"/>
        <v>#REF!</v>
      </c>
      <c r="H9" s="16" t="e">
        <f ca="1" xml:space="preserve">
SUMIFS(
INDIRECT(CONCATENATE("List!M$2:M$",#REF!)),
INDIRECT(CONCATENATE("List!G$2:G$",#REF!)),
$A$1,
INDIRECT(CONCATENATE("List!H$2:H$",#REF!)),
$A9,
INDIRECT(CONCATENATE("List!C$2:C$",#REF!)),#REF!)</f>
        <v>#REF!</v>
      </c>
    </row>
    <row r="10" spans="1:8" x14ac:dyDescent="0.2">
      <c r="A10" s="17">
        <v>8</v>
      </c>
      <c r="B10" s="14" t="e">
        <f ca="1" xml:space="preserve">
 COUNTIFS(
 INDIRECT(CONCATENATE("List!G$2:G$",#REF!)),
 $A$1,
 INDIRECT(CONCATENATE("List!H$2:H$",#REF!)),
 $A10,
 INDIRECT(CONCATENATE("List!C$2:C$",#REF!)),#REF!)</f>
        <v>#REF!</v>
      </c>
      <c r="C10" s="14" t="e">
        <f ca="1" xml:space="preserve">
 COUNTIFS(
 INDIRECT(CONCATENATE("List!G$2:G$",#REF!)),
 $A$1,
 INDIRECT(CONCATENATE("List!H$2:H$",#REF!)),
 $A10,
 INDIRECT(CONCATENATE("List!C$2:C$",#REF!)),#REF!)</f>
        <v>#REF!</v>
      </c>
      <c r="D10" s="14" t="e">
        <f t="shared" ca="1" si="0"/>
        <v>#REF!</v>
      </c>
      <c r="E10" s="14" t="e">
        <f ca="1" xml:space="preserve">
SUMIFS(
INDIRECT(CONCATENATE("List!E$2:E$",#REF!)),
INDIRECT(CONCATENATE("List!G$2:G$",#REF!)),
$A$1,
INDIRECT(CONCATENATE("List!H$2:H$",#REF!)),
$A10,
INDIRECT(CONCATENATE("List!C$2:C$",#REF!)),#REF!)</f>
        <v>#REF!</v>
      </c>
      <c r="F10" s="14" t="e">
        <f ca="1" xml:space="preserve">
SUMIFS(
INDIRECT(CONCATENATE("List!E$2:E$",#REF!)),
INDIRECT(CONCATENATE("List!G$2:G$",#REF!)),
$A$1,
INDIRECT(CONCATENATE("List!H$2:H$",#REF!)),
$A10,
INDIRECT(CONCATENATE("List!C$2:C$",#REF!)),#REF!)</f>
        <v>#REF!</v>
      </c>
      <c r="G10" s="14" t="e">
        <f t="shared" ca="1" si="1"/>
        <v>#REF!</v>
      </c>
      <c r="H10" s="16" t="e">
        <f ca="1" xml:space="preserve">
SUMIFS(
INDIRECT(CONCATENATE("List!M$2:M$",#REF!)),
INDIRECT(CONCATENATE("List!G$2:G$",#REF!)),
$A$1,
INDIRECT(CONCATENATE("List!H$2:H$",#REF!)),
$A10,
INDIRECT(CONCATENATE("List!C$2:C$",#REF!)),#REF!)</f>
        <v>#REF!</v>
      </c>
    </row>
    <row r="11" spans="1:8" x14ac:dyDescent="0.2">
      <c r="A11" s="17">
        <v>9</v>
      </c>
      <c r="B11" s="14" t="e">
        <f ca="1" xml:space="preserve">
 COUNTIFS(
 INDIRECT(CONCATENATE("List!G$2:G$",#REF!)),
 $A$1,
 INDIRECT(CONCATENATE("List!H$2:H$",#REF!)),
 $A11,
 INDIRECT(CONCATENATE("List!C$2:C$",#REF!)),#REF!)</f>
        <v>#REF!</v>
      </c>
      <c r="C11" s="14" t="e">
        <f ca="1" xml:space="preserve">
 COUNTIFS(
 INDIRECT(CONCATENATE("List!G$2:G$",#REF!)),
 $A$1,
 INDIRECT(CONCATENATE("List!H$2:H$",#REF!)),
 $A11,
 INDIRECT(CONCATENATE("List!C$2:C$",#REF!)),#REF!)</f>
        <v>#REF!</v>
      </c>
      <c r="D11" s="14" t="e">
        <f t="shared" ca="1" si="0"/>
        <v>#REF!</v>
      </c>
      <c r="E11" s="14" t="e">
        <f ca="1" xml:space="preserve">
SUMIFS(
INDIRECT(CONCATENATE("List!E$2:E$",#REF!)),
INDIRECT(CONCATENATE("List!G$2:G$",#REF!)),
$A$1,
INDIRECT(CONCATENATE("List!H$2:H$",#REF!)),
$A11,
INDIRECT(CONCATENATE("List!C$2:C$",#REF!)),#REF!)</f>
        <v>#REF!</v>
      </c>
      <c r="F11" s="14" t="e">
        <f ca="1" xml:space="preserve">
SUMIFS(
INDIRECT(CONCATENATE("List!E$2:E$",#REF!)),
INDIRECT(CONCATENATE("List!G$2:G$",#REF!)),
$A$1,
INDIRECT(CONCATENATE("List!H$2:H$",#REF!)),
$A11,
INDIRECT(CONCATENATE("List!C$2:C$",#REF!)),#REF!)</f>
        <v>#REF!</v>
      </c>
      <c r="G11" s="14" t="e">
        <f t="shared" ca="1" si="1"/>
        <v>#REF!</v>
      </c>
      <c r="H11" s="16" t="e">
        <f ca="1" xml:space="preserve">
SUMIFS(
INDIRECT(CONCATENATE("List!M$2:M$",#REF!)),
INDIRECT(CONCATENATE("List!G$2:G$",#REF!)),
$A$1,
INDIRECT(CONCATENATE("List!H$2:H$",#REF!)),
$A11,
INDIRECT(CONCATENATE("List!C$2:C$",#REF!)),#REF!)</f>
        <v>#REF!</v>
      </c>
    </row>
    <row r="12" spans="1:8" x14ac:dyDescent="0.2">
      <c r="A12" s="17">
        <v>10</v>
      </c>
      <c r="B12" s="14" t="e">
        <f ca="1" xml:space="preserve">
 COUNTIFS(
 INDIRECT(CONCATENATE("List!G$2:G$",#REF!)),
 $A$1,
 INDIRECT(CONCATENATE("List!H$2:H$",#REF!)),
 $A12,
 INDIRECT(CONCATENATE("List!C$2:C$",#REF!)),#REF!)</f>
        <v>#REF!</v>
      </c>
      <c r="C12" s="14" t="e">
        <f ca="1" xml:space="preserve">
 COUNTIFS(
 INDIRECT(CONCATENATE("List!G$2:G$",#REF!)),
 $A$1,
 INDIRECT(CONCATENATE("List!H$2:H$",#REF!)),
 $A12,
 INDIRECT(CONCATENATE("List!C$2:C$",#REF!)),#REF!)</f>
        <v>#REF!</v>
      </c>
      <c r="D12" s="14" t="e">
        <f t="shared" ca="1" si="0"/>
        <v>#REF!</v>
      </c>
      <c r="E12" s="14" t="e">
        <f ca="1" xml:space="preserve">
SUMIFS(
INDIRECT(CONCATENATE("List!E$2:E$",#REF!)),
INDIRECT(CONCATENATE("List!G$2:G$",#REF!)),
$A$1,
INDIRECT(CONCATENATE("List!H$2:H$",#REF!)),
$A12,
INDIRECT(CONCATENATE("List!C$2:C$",#REF!)),#REF!)</f>
        <v>#REF!</v>
      </c>
      <c r="F12" s="14" t="e">
        <f ca="1" xml:space="preserve">
SUMIFS(
INDIRECT(CONCATENATE("List!E$2:E$",#REF!)),
INDIRECT(CONCATENATE("List!G$2:G$",#REF!)),
$A$1,
INDIRECT(CONCATENATE("List!H$2:H$",#REF!)),
$A12,
INDIRECT(CONCATENATE("List!C$2:C$",#REF!)),#REF!)</f>
        <v>#REF!</v>
      </c>
      <c r="G12" s="14" t="e">
        <f t="shared" ca="1" si="1"/>
        <v>#REF!</v>
      </c>
      <c r="H12" s="16" t="e">
        <f ca="1" xml:space="preserve">
SUMIFS(
INDIRECT(CONCATENATE("List!M$2:M$",#REF!)),
INDIRECT(CONCATENATE("List!G$2:G$",#REF!)),
$A$1,
INDIRECT(CONCATENATE("List!H$2:H$",#REF!)),
$A12,
INDIRECT(CONCATENATE("List!C$2:C$",#REF!)),#REF!)</f>
        <v>#REF!</v>
      </c>
    </row>
    <row r="13" spans="1:8" x14ac:dyDescent="0.2">
      <c r="A13" s="17">
        <v>11</v>
      </c>
      <c r="B13" s="14" t="e">
        <f ca="1" xml:space="preserve">
 COUNTIFS(
 INDIRECT(CONCATENATE("List!G$2:G$",#REF!)),
 $A$1,
 INDIRECT(CONCATENATE("List!H$2:H$",#REF!)),
 $A13,
 INDIRECT(CONCATENATE("List!C$2:C$",#REF!)),#REF!)</f>
        <v>#REF!</v>
      </c>
      <c r="C13" s="14" t="e">
        <f ca="1" xml:space="preserve">
 COUNTIFS(
 INDIRECT(CONCATENATE("List!G$2:G$",#REF!)),
 $A$1,
 INDIRECT(CONCATENATE("List!H$2:H$",#REF!)),
 $A13,
 INDIRECT(CONCATENATE("List!C$2:C$",#REF!)),#REF!)</f>
        <v>#REF!</v>
      </c>
      <c r="D13" s="14" t="e">
        <f t="shared" ca="1" si="0"/>
        <v>#REF!</v>
      </c>
      <c r="E13" s="14" t="e">
        <f ca="1" xml:space="preserve">
SUMIFS(
INDIRECT(CONCATENATE("List!E$2:E$",#REF!)),
INDIRECT(CONCATENATE("List!G$2:G$",#REF!)),
$A$1,
INDIRECT(CONCATENATE("List!H$2:H$",#REF!)),
$A13,
INDIRECT(CONCATENATE("List!C$2:C$",#REF!)),#REF!)</f>
        <v>#REF!</v>
      </c>
      <c r="F13" s="14" t="e">
        <f ca="1" xml:space="preserve">
SUMIFS(
INDIRECT(CONCATENATE("List!E$2:E$",#REF!)),
INDIRECT(CONCATENATE("List!G$2:G$",#REF!)),
$A$1,
INDIRECT(CONCATENATE("List!H$2:H$",#REF!)),
$A13,
INDIRECT(CONCATENATE("List!C$2:C$",#REF!)),#REF!)</f>
        <v>#REF!</v>
      </c>
      <c r="G13" s="14" t="e">
        <f t="shared" ca="1" si="1"/>
        <v>#REF!</v>
      </c>
      <c r="H13" s="16" t="e">
        <f ca="1" xml:space="preserve">
SUMIFS(
INDIRECT(CONCATENATE("List!M$2:M$",#REF!)),
INDIRECT(CONCATENATE("List!G$2:G$",#REF!)),
$A$1,
INDIRECT(CONCATENATE("List!H$2:H$",#REF!)),
$A13,
INDIRECT(CONCATENATE("List!C$2:C$",#REF!)),#REF!)</f>
        <v>#REF!</v>
      </c>
    </row>
    <row r="14" spans="1:8" x14ac:dyDescent="0.2">
      <c r="A14" s="17">
        <v>12</v>
      </c>
      <c r="B14" s="14" t="e">
        <f ca="1" xml:space="preserve">
 COUNTIFS(
 INDIRECT(CONCATENATE("List!G$2:G$",#REF!)),
 $A$1,
 INDIRECT(CONCATENATE("List!H$2:H$",#REF!)),
 $A14,
 INDIRECT(CONCATENATE("List!C$2:C$",#REF!)),#REF!)</f>
        <v>#REF!</v>
      </c>
      <c r="C14" s="14" t="e">
        <f ca="1" xml:space="preserve">
 COUNTIFS(
 INDIRECT(CONCATENATE("List!G$2:G$",#REF!)),
 $A$1,
 INDIRECT(CONCATENATE("List!H$2:H$",#REF!)),
 $A14,
 INDIRECT(CONCATENATE("List!C$2:C$",#REF!)),#REF!)</f>
        <v>#REF!</v>
      </c>
      <c r="D14" s="14" t="e">
        <f t="shared" ca="1" si="0"/>
        <v>#REF!</v>
      </c>
      <c r="E14" s="14" t="e">
        <f ca="1" xml:space="preserve">
SUMIFS(
INDIRECT(CONCATENATE("List!E$2:E$",#REF!)),
INDIRECT(CONCATENATE("List!G$2:G$",#REF!)),
$A$1,
INDIRECT(CONCATENATE("List!H$2:H$",#REF!)),
$A14,
INDIRECT(CONCATENATE("List!C$2:C$",#REF!)),#REF!)</f>
        <v>#REF!</v>
      </c>
      <c r="F14" s="14" t="e">
        <f ca="1" xml:space="preserve">
SUMIFS(
INDIRECT(CONCATENATE("List!E$2:E$",#REF!)),
INDIRECT(CONCATENATE("List!G$2:G$",#REF!)),
$A$1,
INDIRECT(CONCATENATE("List!H$2:H$",#REF!)),
$A14,
INDIRECT(CONCATENATE("List!C$2:C$",#REF!)),#REF!)</f>
        <v>#REF!</v>
      </c>
      <c r="G14" s="14" t="e">
        <f t="shared" ca="1" si="1"/>
        <v>#REF!</v>
      </c>
      <c r="H14" s="16" t="e">
        <f ca="1" xml:space="preserve">
SUMIFS(
INDIRECT(CONCATENATE("List!M$2:M$",#REF!)),
INDIRECT(CONCATENATE("List!G$2:G$",#REF!)),
$A$1,
INDIRECT(CONCATENATE("List!H$2:H$",#REF!)),
$A14,
INDIRECT(CONCATENATE("List!C$2:C$",#REF!)),#REF!)</f>
        <v>#REF!</v>
      </c>
    </row>
    <row r="15" spans="1:8" x14ac:dyDescent="0.2">
      <c r="A15" s="3"/>
      <c r="B15" s="3"/>
      <c r="C15" s="3"/>
      <c r="D15" s="3"/>
      <c r="E15" s="3"/>
      <c r="F15" s="3"/>
      <c r="G15" s="3"/>
      <c r="H15" s="3"/>
    </row>
    <row r="16" spans="1:8" x14ac:dyDescent="0.2">
      <c r="A16" s="18" t="s">
        <v>361</v>
      </c>
      <c r="B16" s="20" t="e">
        <f ca="1">SUM(B3:B14)</f>
        <v>#REF!</v>
      </c>
      <c r="C16" s="20" t="e">
        <f t="shared" ref="C16:H16" ca="1" si="2">SUM(C3:C14)</f>
        <v>#REF!</v>
      </c>
      <c r="D16" s="20" t="e">
        <f t="shared" ca="1" si="2"/>
        <v>#REF!</v>
      </c>
      <c r="E16" s="20" t="e">
        <f t="shared" ca="1" si="2"/>
        <v>#REF!</v>
      </c>
      <c r="F16" s="20" t="e">
        <f t="shared" ca="1" si="2"/>
        <v>#REF!</v>
      </c>
      <c r="G16" s="20" t="e">
        <f t="shared" ca="1" si="2"/>
        <v>#REF!</v>
      </c>
      <c r="H16" s="21" t="e">
        <f t="shared" ca="1" si="2"/>
        <v>#REF!</v>
      </c>
    </row>
  </sheetData>
  <mergeCells count="1">
    <mergeCell ref="A1:H1"/>
  </mergeCells>
  <conditionalFormatting sqref="B3:B14">
    <cfRule type="colorScale" priority="5">
      <colorScale>
        <cfvo type="min"/>
        <cfvo type="percentile" val="50"/>
        <cfvo type="max"/>
        <color rgb="FFF8696B"/>
        <color rgb="FFFFEB84"/>
        <color rgb="FF63BE7B"/>
      </colorScale>
    </cfRule>
  </conditionalFormatting>
  <conditionalFormatting sqref="C3:C14">
    <cfRule type="colorScale" priority="4">
      <colorScale>
        <cfvo type="min"/>
        <cfvo type="percentile" val="50"/>
        <cfvo type="max"/>
        <color rgb="FFF8696B"/>
        <color rgb="FFFFEB84"/>
        <color rgb="FF63BE7B"/>
      </colorScale>
    </cfRule>
  </conditionalFormatting>
  <conditionalFormatting sqref="E3:E14">
    <cfRule type="colorScale" priority="3">
      <colorScale>
        <cfvo type="min"/>
        <cfvo type="percentile" val="50"/>
        <cfvo type="max"/>
        <color rgb="FFF8696B"/>
        <color rgb="FFFFEB84"/>
        <color rgb="FF63BE7B"/>
      </colorScale>
    </cfRule>
  </conditionalFormatting>
  <conditionalFormatting sqref="F3:F14">
    <cfRule type="colorScale" priority="2">
      <colorScale>
        <cfvo type="min"/>
        <cfvo type="percentile" val="50"/>
        <cfvo type="max"/>
        <color rgb="FFF8696B"/>
        <color rgb="FFFFEB84"/>
        <color rgb="FF63BE7B"/>
      </colorScale>
    </cfRule>
  </conditionalFormatting>
  <conditionalFormatting sqref="H3:H1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6"/>
  <dimension ref="A1:H16"/>
  <sheetViews>
    <sheetView workbookViewId="0">
      <selection activeCell="M24" sqref="M24"/>
    </sheetView>
  </sheetViews>
  <sheetFormatPr defaultColWidth="8.85546875" defaultRowHeight="12" x14ac:dyDescent="0.2"/>
  <cols>
    <col min="1" max="16384" width="8.85546875" style="30"/>
  </cols>
  <sheetData>
    <row r="1" spans="1:8" ht="14.45" customHeight="1" x14ac:dyDescent="0.2">
      <c r="A1" s="42">
        <v>2022</v>
      </c>
      <c r="B1" s="42"/>
      <c r="C1" s="42"/>
      <c r="D1" s="42"/>
      <c r="E1" s="42"/>
      <c r="F1" s="42"/>
      <c r="G1" s="42"/>
      <c r="H1" s="43"/>
    </row>
    <row r="2" spans="1:8" x14ac:dyDescent="0.2">
      <c r="A2" s="18" t="s">
        <v>360</v>
      </c>
      <c r="B2" s="18" t="s">
        <v>365</v>
      </c>
      <c r="C2" s="18" t="s">
        <v>366</v>
      </c>
      <c r="D2" s="18" t="s">
        <v>361</v>
      </c>
      <c r="E2" s="18" t="s">
        <v>574</v>
      </c>
      <c r="F2" s="18" t="s">
        <v>573</v>
      </c>
      <c r="G2" s="18" t="s">
        <v>572</v>
      </c>
      <c r="H2" s="18" t="s">
        <v>575</v>
      </c>
    </row>
    <row r="3" spans="1:8" x14ac:dyDescent="0.2">
      <c r="A3" s="17">
        <v>1</v>
      </c>
      <c r="B3" s="14" t="e">
        <f ca="1" xml:space="preserve">
 COUNTIFS(
 INDIRECT(CONCATENATE("List!G$2:G$",#REF!)),
 $A$1,
 INDIRECT(CONCATENATE("List!H$2:H$",#REF!)),
 $A3,
 INDIRECT(CONCATENATE("List!C$2:C$",#REF!)),#REF!)</f>
        <v>#REF!</v>
      </c>
      <c r="C3" s="14" t="e">
        <f ca="1" xml:space="preserve">
 COUNTIFS(
 INDIRECT(CONCATENATE("List!G$2:G$",#REF!)),
 $A$1,
 INDIRECT(CONCATENATE("List!H$2:H$",#REF!)),
 $A3,
 INDIRECT(CONCATENATE("List!C$2:C$",#REF!)),#REF!)</f>
        <v>#REF!</v>
      </c>
      <c r="D3" s="14" t="e">
        <f ca="1">SUM(B3,C3)</f>
        <v>#REF!</v>
      </c>
      <c r="E3" s="14" t="e">
        <f ca="1" xml:space="preserve">
SUMIFS(
INDIRECT(CONCATENATE("List!E$2:E$",#REF!)),
INDIRECT(CONCATENATE("List!G$2:G$",#REF!)),
$A$1,
INDIRECT(CONCATENATE("List!H$2:H$",#REF!)),
$A3,
INDIRECT(CONCATENATE("List!C$2:C$",#REF!)),#REF!)</f>
        <v>#REF!</v>
      </c>
      <c r="F3" s="14" t="e">
        <f ca="1" xml:space="preserve">
SUMIFS(
INDIRECT(CONCATENATE("List!E$2:E$",#REF!)),
INDIRECT(CONCATENATE("List!G$2:G$",#REF!)),
$A$1,
INDIRECT(CONCATENATE("List!H$2:H$",#REF!)),
$A3,
INDIRECT(CONCATENATE("List!C$2:C$",#REF!)),#REF!)</f>
        <v>#REF!</v>
      </c>
      <c r="G3" s="14" t="e">
        <f ca="1">SUM(E3,F3)</f>
        <v>#REF!</v>
      </c>
      <c r="H3" s="16" t="e">
        <f ca="1" xml:space="preserve">
SUMIFS(
INDIRECT(CONCATENATE("List!M$2:M$",#REF!)),
INDIRECT(CONCATENATE("List!G$2:G$",#REF!)),
$A$1,
INDIRECT(CONCATENATE("List!H$2:H$",#REF!)),
$A3,
INDIRECT(CONCATENATE("List!C$2:C$",#REF!)),#REF!)</f>
        <v>#REF!</v>
      </c>
    </row>
    <row r="4" spans="1:8" x14ac:dyDescent="0.2">
      <c r="A4" s="17">
        <v>2</v>
      </c>
      <c r="B4" s="14" t="e">
        <f ca="1" xml:space="preserve">
 COUNTIFS(
 INDIRECT(CONCATENATE("List!G$2:G$",#REF!)),
 $A$1,
 INDIRECT(CONCATENATE("List!H$2:H$",#REF!)),
 $A4,
 INDIRECT(CONCATENATE("List!C$2:C$",#REF!)),#REF!)</f>
        <v>#REF!</v>
      </c>
      <c r="C4" s="14" t="e">
        <f ca="1" xml:space="preserve">
 COUNTIFS(
 INDIRECT(CONCATENATE("List!G$2:G$",#REF!)),
 $A$1,
 INDIRECT(CONCATENATE("List!H$2:H$",#REF!)),
 $A4,
 INDIRECT(CONCATENATE("List!C$2:C$",#REF!)),#REF!)</f>
        <v>#REF!</v>
      </c>
      <c r="D4" s="14" t="e">
        <f t="shared" ref="D4:D14" ca="1" si="0">SUM(B4,C4)</f>
        <v>#REF!</v>
      </c>
      <c r="E4" s="14" t="e">
        <f ca="1" xml:space="preserve">
SUMIFS(
INDIRECT(CONCATENATE("List!E$2:E$",#REF!)),
INDIRECT(CONCATENATE("List!G$2:G$",#REF!)),
$A$1,
INDIRECT(CONCATENATE("List!H$2:H$",#REF!)),
$A4,
INDIRECT(CONCATENATE("List!C$2:C$",#REF!)),#REF!)</f>
        <v>#REF!</v>
      </c>
      <c r="F4" s="14" t="e">
        <f ca="1" xml:space="preserve">
SUMIFS(
INDIRECT(CONCATENATE("List!E$2:E$",#REF!)),
INDIRECT(CONCATENATE("List!G$2:G$",#REF!)),
$A$1,
INDIRECT(CONCATENATE("List!H$2:H$",#REF!)),
$A4,
INDIRECT(CONCATENATE("List!C$2:C$",#REF!)),#REF!)</f>
        <v>#REF!</v>
      </c>
      <c r="G4" s="14" t="e">
        <f t="shared" ref="G4:G14" ca="1" si="1">SUM(E4,F4)</f>
        <v>#REF!</v>
      </c>
      <c r="H4" s="16" t="e">
        <f ca="1" xml:space="preserve">
SUMIFS(
INDIRECT(CONCATENATE("List!M$2:M$",#REF!)),
INDIRECT(CONCATENATE("List!G$2:G$",#REF!)),
$A$1,
INDIRECT(CONCATENATE("List!H$2:H$",#REF!)),
$A4,
INDIRECT(CONCATENATE("List!C$2:C$",#REF!)),#REF!)</f>
        <v>#REF!</v>
      </c>
    </row>
    <row r="5" spans="1:8" x14ac:dyDescent="0.2">
      <c r="A5" s="17">
        <v>3</v>
      </c>
      <c r="B5" s="14" t="e">
        <f ca="1" xml:space="preserve">
 COUNTIFS(
 INDIRECT(CONCATENATE("List!G$2:G$",#REF!)),
 $A$1,
 INDIRECT(CONCATENATE("List!H$2:H$",#REF!)),
 $A5,
 INDIRECT(CONCATENATE("List!C$2:C$",#REF!)),#REF!)</f>
        <v>#REF!</v>
      </c>
      <c r="C5" s="14" t="e">
        <f ca="1" xml:space="preserve">
 COUNTIFS(
 INDIRECT(CONCATENATE("List!G$2:G$",#REF!)),
 $A$1,
 INDIRECT(CONCATENATE("List!H$2:H$",#REF!)),
 $A5,
 INDIRECT(CONCATENATE("List!C$2:C$",#REF!)),#REF!)</f>
        <v>#REF!</v>
      </c>
      <c r="D5" s="14" t="e">
        <f t="shared" ca="1" si="0"/>
        <v>#REF!</v>
      </c>
      <c r="E5" s="14" t="e">
        <f ca="1" xml:space="preserve">
SUMIFS(
INDIRECT(CONCATENATE("List!E$2:E$",#REF!)),
INDIRECT(CONCATENATE("List!G$2:G$",#REF!)),
$A$1,
INDIRECT(CONCATENATE("List!H$2:H$",#REF!)),
$A5,
INDIRECT(CONCATENATE("List!C$2:C$",#REF!)),#REF!)</f>
        <v>#REF!</v>
      </c>
      <c r="F5" s="14" t="e">
        <f ca="1" xml:space="preserve">
SUMIFS(
INDIRECT(CONCATENATE("List!E$2:E$",#REF!)),
INDIRECT(CONCATENATE("List!G$2:G$",#REF!)),
$A$1,
INDIRECT(CONCATENATE("List!H$2:H$",#REF!)),
$A5,
INDIRECT(CONCATENATE("List!C$2:C$",#REF!)),#REF!)</f>
        <v>#REF!</v>
      </c>
      <c r="G5" s="14" t="e">
        <f t="shared" ca="1" si="1"/>
        <v>#REF!</v>
      </c>
      <c r="H5" s="16" t="e">
        <f ca="1" xml:space="preserve">
SUMIFS(
INDIRECT(CONCATENATE("List!M$2:M$",#REF!)),
INDIRECT(CONCATENATE("List!G$2:G$",#REF!)),
$A$1,
INDIRECT(CONCATENATE("List!H$2:H$",#REF!)),
$A5,
INDIRECT(CONCATENATE("List!C$2:C$",#REF!)),#REF!)</f>
        <v>#REF!</v>
      </c>
    </row>
    <row r="6" spans="1:8" x14ac:dyDescent="0.2">
      <c r="A6" s="17">
        <v>4</v>
      </c>
      <c r="B6" s="14" t="e">
        <f ca="1" xml:space="preserve">
 COUNTIFS(
 INDIRECT(CONCATENATE("List!G$2:G$",#REF!)),
 $A$1,
 INDIRECT(CONCATENATE("List!H$2:H$",#REF!)),
 $A6,
 INDIRECT(CONCATENATE("List!C$2:C$",#REF!)),#REF!)</f>
        <v>#REF!</v>
      </c>
      <c r="C6" s="14" t="e">
        <f ca="1" xml:space="preserve">
 COUNTIFS(
 INDIRECT(CONCATENATE("List!G$2:G$",#REF!)),
 $A$1,
 INDIRECT(CONCATENATE("List!H$2:H$",#REF!)),
 $A6,
 INDIRECT(CONCATENATE("List!C$2:C$",#REF!)),#REF!)</f>
        <v>#REF!</v>
      </c>
      <c r="D6" s="14" t="e">
        <f t="shared" ca="1" si="0"/>
        <v>#REF!</v>
      </c>
      <c r="E6" s="14" t="e">
        <f ca="1" xml:space="preserve">
SUMIFS(
INDIRECT(CONCATENATE("List!E$2:E$",#REF!)),
INDIRECT(CONCATENATE("List!G$2:G$",#REF!)),
$A$1,
INDIRECT(CONCATENATE("List!H$2:H$",#REF!)),
$A6,
INDIRECT(CONCATENATE("List!C$2:C$",#REF!)),#REF!)</f>
        <v>#REF!</v>
      </c>
      <c r="F6" s="14" t="e">
        <f ca="1" xml:space="preserve">
SUMIFS(
INDIRECT(CONCATENATE("List!E$2:E$",#REF!)),
INDIRECT(CONCATENATE("List!G$2:G$",#REF!)),
$A$1,
INDIRECT(CONCATENATE("List!H$2:H$",#REF!)),
$A6,
INDIRECT(CONCATENATE("List!C$2:C$",#REF!)),#REF!)</f>
        <v>#REF!</v>
      </c>
      <c r="G6" s="14" t="e">
        <f t="shared" ca="1" si="1"/>
        <v>#REF!</v>
      </c>
      <c r="H6" s="16" t="e">
        <f ca="1" xml:space="preserve">
SUMIFS(
INDIRECT(CONCATENATE("List!M$2:M$",#REF!)),
INDIRECT(CONCATENATE("List!G$2:G$",#REF!)),
$A$1,
INDIRECT(CONCATENATE("List!H$2:H$",#REF!)),
$A6,
INDIRECT(CONCATENATE("List!C$2:C$",#REF!)),#REF!)</f>
        <v>#REF!</v>
      </c>
    </row>
    <row r="7" spans="1:8" x14ac:dyDescent="0.2">
      <c r="A7" s="17">
        <v>5</v>
      </c>
      <c r="B7" s="14" t="e">
        <f ca="1" xml:space="preserve">
 COUNTIFS(
 INDIRECT(CONCATENATE("List!G$2:G$",#REF!)),
 $A$1,
 INDIRECT(CONCATENATE("List!H$2:H$",#REF!)),
 $A7,
 INDIRECT(CONCATENATE("List!C$2:C$",#REF!)),#REF!)</f>
        <v>#REF!</v>
      </c>
      <c r="C7" s="14" t="e">
        <f ca="1" xml:space="preserve">
 COUNTIFS(
 INDIRECT(CONCATENATE("List!G$2:G$",#REF!)),
 $A$1,
 INDIRECT(CONCATENATE("List!H$2:H$",#REF!)),
 $A7,
 INDIRECT(CONCATENATE("List!C$2:C$",#REF!)),#REF!)</f>
        <v>#REF!</v>
      </c>
      <c r="D7" s="14" t="e">
        <f t="shared" ca="1" si="0"/>
        <v>#REF!</v>
      </c>
      <c r="E7" s="14" t="e">
        <f ca="1" xml:space="preserve">
SUMIFS(
INDIRECT(CONCATENATE("List!E$2:E$",#REF!)),
INDIRECT(CONCATENATE("List!G$2:G$",#REF!)),
$A$1,
INDIRECT(CONCATENATE("List!H$2:H$",#REF!)),
$A7,
INDIRECT(CONCATENATE("List!C$2:C$",#REF!)),#REF!)</f>
        <v>#REF!</v>
      </c>
      <c r="F7" s="14" t="e">
        <f ca="1" xml:space="preserve">
SUMIFS(
INDIRECT(CONCATENATE("List!E$2:E$",#REF!)),
INDIRECT(CONCATENATE("List!G$2:G$",#REF!)),
$A$1,
INDIRECT(CONCATENATE("List!H$2:H$",#REF!)),
$A7,
INDIRECT(CONCATENATE("List!C$2:C$",#REF!)),#REF!)</f>
        <v>#REF!</v>
      </c>
      <c r="G7" s="14" t="e">
        <f t="shared" ca="1" si="1"/>
        <v>#REF!</v>
      </c>
      <c r="H7" s="16" t="e">
        <f ca="1" xml:space="preserve">
SUMIFS(
INDIRECT(CONCATENATE("List!M$2:M$",#REF!)),
INDIRECT(CONCATENATE("List!G$2:G$",#REF!)),
$A$1,
INDIRECT(CONCATENATE("List!H$2:H$",#REF!)),
$A7,
INDIRECT(CONCATENATE("List!C$2:C$",#REF!)),#REF!)</f>
        <v>#REF!</v>
      </c>
    </row>
    <row r="8" spans="1:8" x14ac:dyDescent="0.2">
      <c r="A8" s="17">
        <v>6</v>
      </c>
      <c r="B8" s="14" t="e">
        <f ca="1" xml:space="preserve">
 COUNTIFS(
 INDIRECT(CONCATENATE("List!G$2:G$",#REF!)),
 $A$1,
 INDIRECT(CONCATENATE("List!H$2:H$",#REF!)),
 $A8,
 INDIRECT(CONCATENATE("List!C$2:C$",#REF!)),#REF!)</f>
        <v>#REF!</v>
      </c>
      <c r="C8" s="14" t="e">
        <f ca="1" xml:space="preserve">
 COUNTIFS(
 INDIRECT(CONCATENATE("List!G$2:G$",#REF!)),
 $A$1,
 INDIRECT(CONCATENATE("List!H$2:H$",#REF!)),
 $A8,
 INDIRECT(CONCATENATE("List!C$2:C$",#REF!)),#REF!)</f>
        <v>#REF!</v>
      </c>
      <c r="D8" s="14" t="e">
        <f t="shared" ca="1" si="0"/>
        <v>#REF!</v>
      </c>
      <c r="E8" s="14" t="e">
        <f ca="1" xml:space="preserve">
SUMIFS(
INDIRECT(CONCATENATE("List!E$2:E$",#REF!)),
INDIRECT(CONCATENATE("List!G$2:G$",#REF!)),
$A$1,
INDIRECT(CONCATENATE("List!H$2:H$",#REF!)),
$A8,
INDIRECT(CONCATENATE("List!C$2:C$",#REF!)),#REF!)</f>
        <v>#REF!</v>
      </c>
      <c r="F8" s="14" t="e">
        <f ca="1" xml:space="preserve">
SUMIFS(
INDIRECT(CONCATENATE("List!E$2:E$",#REF!)),
INDIRECT(CONCATENATE("List!G$2:G$",#REF!)),
$A$1,
INDIRECT(CONCATENATE("List!H$2:H$",#REF!)),
$A8,
INDIRECT(CONCATENATE("List!C$2:C$",#REF!)),#REF!)</f>
        <v>#REF!</v>
      </c>
      <c r="G8" s="14" t="e">
        <f t="shared" ca="1" si="1"/>
        <v>#REF!</v>
      </c>
      <c r="H8" s="16" t="e">
        <f ca="1" xml:space="preserve">
SUMIFS(
INDIRECT(CONCATENATE("List!M$2:M$",#REF!)),
INDIRECT(CONCATENATE("List!G$2:G$",#REF!)),
$A$1,
INDIRECT(CONCATENATE("List!H$2:H$",#REF!)),
$A8,
INDIRECT(CONCATENATE("List!C$2:C$",#REF!)),#REF!)</f>
        <v>#REF!</v>
      </c>
    </row>
    <row r="9" spans="1:8" x14ac:dyDescent="0.2">
      <c r="A9" s="17">
        <v>7</v>
      </c>
      <c r="B9" s="14" t="e">
        <f ca="1" xml:space="preserve">
 COUNTIFS(
 INDIRECT(CONCATENATE("List!G$2:G$",#REF!)),
 $A$1,
 INDIRECT(CONCATENATE("List!H$2:H$",#REF!)),
 $A9,
 INDIRECT(CONCATENATE("List!C$2:C$",#REF!)),#REF!)</f>
        <v>#REF!</v>
      </c>
      <c r="C9" s="14" t="e">
        <f ca="1" xml:space="preserve">
 COUNTIFS(
 INDIRECT(CONCATENATE("List!G$2:G$",#REF!)),
 $A$1,
 INDIRECT(CONCATENATE("List!H$2:H$",#REF!)),
 $A9,
 INDIRECT(CONCATENATE("List!C$2:C$",#REF!)),#REF!)</f>
        <v>#REF!</v>
      </c>
      <c r="D9" s="14" t="e">
        <f t="shared" ca="1" si="0"/>
        <v>#REF!</v>
      </c>
      <c r="E9" s="14" t="e">
        <f ca="1" xml:space="preserve">
SUMIFS(
INDIRECT(CONCATENATE("List!E$2:E$",#REF!)),
INDIRECT(CONCATENATE("List!G$2:G$",#REF!)),
$A$1,
INDIRECT(CONCATENATE("List!H$2:H$",#REF!)),
$A9,
INDIRECT(CONCATENATE("List!C$2:C$",#REF!)),#REF!)</f>
        <v>#REF!</v>
      </c>
      <c r="F9" s="14" t="e">
        <f ca="1" xml:space="preserve">
SUMIFS(
INDIRECT(CONCATENATE("List!E$2:E$",#REF!)),
INDIRECT(CONCATENATE("List!G$2:G$",#REF!)),
$A$1,
INDIRECT(CONCATENATE("List!H$2:H$",#REF!)),
$A9,
INDIRECT(CONCATENATE("List!C$2:C$",#REF!)),#REF!)</f>
        <v>#REF!</v>
      </c>
      <c r="G9" s="14" t="e">
        <f t="shared" ca="1" si="1"/>
        <v>#REF!</v>
      </c>
      <c r="H9" s="16" t="e">
        <f ca="1" xml:space="preserve">
SUMIFS(
INDIRECT(CONCATENATE("List!M$2:M$",#REF!)),
INDIRECT(CONCATENATE("List!G$2:G$",#REF!)),
$A$1,
INDIRECT(CONCATENATE("List!H$2:H$",#REF!)),
$A9,
INDIRECT(CONCATENATE("List!C$2:C$",#REF!)),#REF!)</f>
        <v>#REF!</v>
      </c>
    </row>
    <row r="10" spans="1:8" x14ac:dyDescent="0.2">
      <c r="A10" s="17">
        <v>8</v>
      </c>
      <c r="B10" s="14" t="e">
        <f ca="1" xml:space="preserve">
 COUNTIFS(
 INDIRECT(CONCATENATE("List!G$2:G$",#REF!)),
 $A$1,
 INDIRECT(CONCATENATE("List!H$2:H$",#REF!)),
 $A10,
 INDIRECT(CONCATENATE("List!C$2:C$",#REF!)),#REF!)</f>
        <v>#REF!</v>
      </c>
      <c r="C10" s="14" t="e">
        <f ca="1" xml:space="preserve">
 COUNTIFS(
 INDIRECT(CONCATENATE("List!G$2:G$",#REF!)),
 $A$1,
 INDIRECT(CONCATENATE("List!H$2:H$",#REF!)),
 $A10,
 INDIRECT(CONCATENATE("List!C$2:C$",#REF!)),#REF!)</f>
        <v>#REF!</v>
      </c>
      <c r="D10" s="14" t="e">
        <f t="shared" ca="1" si="0"/>
        <v>#REF!</v>
      </c>
      <c r="E10" s="14" t="e">
        <f ca="1" xml:space="preserve">
SUMIFS(
INDIRECT(CONCATENATE("List!E$2:E$",#REF!)),
INDIRECT(CONCATENATE("List!G$2:G$",#REF!)),
$A$1,
INDIRECT(CONCATENATE("List!H$2:H$",#REF!)),
$A10,
INDIRECT(CONCATENATE("List!C$2:C$",#REF!)),#REF!)</f>
        <v>#REF!</v>
      </c>
      <c r="F10" s="14" t="e">
        <f ca="1" xml:space="preserve">
SUMIFS(
INDIRECT(CONCATENATE("List!E$2:E$",#REF!)),
INDIRECT(CONCATENATE("List!G$2:G$",#REF!)),
$A$1,
INDIRECT(CONCATENATE("List!H$2:H$",#REF!)),
$A10,
INDIRECT(CONCATENATE("List!C$2:C$",#REF!)),#REF!)</f>
        <v>#REF!</v>
      </c>
      <c r="G10" s="14" t="e">
        <f t="shared" ca="1" si="1"/>
        <v>#REF!</v>
      </c>
      <c r="H10" s="16" t="e">
        <f ca="1" xml:space="preserve">
SUMIFS(
INDIRECT(CONCATENATE("List!M$2:M$",#REF!)),
INDIRECT(CONCATENATE("List!G$2:G$",#REF!)),
$A$1,
INDIRECT(CONCATENATE("List!H$2:H$",#REF!)),
$A10,
INDIRECT(CONCATENATE("List!C$2:C$",#REF!)),#REF!)</f>
        <v>#REF!</v>
      </c>
    </row>
    <row r="11" spans="1:8" x14ac:dyDescent="0.2">
      <c r="A11" s="17">
        <v>9</v>
      </c>
      <c r="B11" s="14" t="e">
        <f ca="1" xml:space="preserve">
 COUNTIFS(
 INDIRECT(CONCATENATE("List!G$2:G$",#REF!)),
 $A$1,
 INDIRECT(CONCATENATE("List!H$2:H$",#REF!)),
 $A11,
 INDIRECT(CONCATENATE("List!C$2:C$",#REF!)),#REF!)</f>
        <v>#REF!</v>
      </c>
      <c r="C11" s="14" t="e">
        <f ca="1" xml:space="preserve">
 COUNTIFS(
 INDIRECT(CONCATENATE("List!G$2:G$",#REF!)),
 $A$1,
 INDIRECT(CONCATENATE("List!H$2:H$",#REF!)),
 $A11,
 INDIRECT(CONCATENATE("List!C$2:C$",#REF!)),#REF!)</f>
        <v>#REF!</v>
      </c>
      <c r="D11" s="14" t="e">
        <f t="shared" ca="1" si="0"/>
        <v>#REF!</v>
      </c>
      <c r="E11" s="14" t="e">
        <f ca="1" xml:space="preserve">
SUMIFS(
INDIRECT(CONCATENATE("List!E$2:E$",#REF!)),
INDIRECT(CONCATENATE("List!G$2:G$",#REF!)),
$A$1,
INDIRECT(CONCATENATE("List!H$2:H$",#REF!)),
$A11,
INDIRECT(CONCATENATE("List!C$2:C$",#REF!)),#REF!)</f>
        <v>#REF!</v>
      </c>
      <c r="F11" s="14" t="e">
        <f ca="1" xml:space="preserve">
SUMIFS(
INDIRECT(CONCATENATE("List!E$2:E$",#REF!)),
INDIRECT(CONCATENATE("List!G$2:G$",#REF!)),
$A$1,
INDIRECT(CONCATENATE("List!H$2:H$",#REF!)),
$A11,
INDIRECT(CONCATENATE("List!C$2:C$",#REF!)),#REF!)</f>
        <v>#REF!</v>
      </c>
      <c r="G11" s="14" t="e">
        <f t="shared" ca="1" si="1"/>
        <v>#REF!</v>
      </c>
      <c r="H11" s="16" t="e">
        <f ca="1" xml:space="preserve">
SUMIFS(
INDIRECT(CONCATENATE("List!M$2:M$",#REF!)),
INDIRECT(CONCATENATE("List!G$2:G$",#REF!)),
$A$1,
INDIRECT(CONCATENATE("List!H$2:H$",#REF!)),
$A11,
INDIRECT(CONCATENATE("List!C$2:C$",#REF!)),#REF!)</f>
        <v>#REF!</v>
      </c>
    </row>
    <row r="12" spans="1:8" x14ac:dyDescent="0.2">
      <c r="A12" s="17">
        <v>10</v>
      </c>
      <c r="B12" s="14" t="e">
        <f ca="1" xml:space="preserve">
 COUNTIFS(
 INDIRECT(CONCATENATE("List!G$2:G$",#REF!)),
 $A$1,
 INDIRECT(CONCATENATE("List!H$2:H$",#REF!)),
 $A12,
 INDIRECT(CONCATENATE("List!C$2:C$",#REF!)),#REF!)</f>
        <v>#REF!</v>
      </c>
      <c r="C12" s="14" t="e">
        <f ca="1" xml:space="preserve">
 COUNTIFS(
 INDIRECT(CONCATENATE("List!G$2:G$",#REF!)),
 $A$1,
 INDIRECT(CONCATENATE("List!H$2:H$",#REF!)),
 $A12,
 INDIRECT(CONCATENATE("List!C$2:C$",#REF!)),#REF!)</f>
        <v>#REF!</v>
      </c>
      <c r="D12" s="14" t="e">
        <f t="shared" ca="1" si="0"/>
        <v>#REF!</v>
      </c>
      <c r="E12" s="14" t="e">
        <f ca="1" xml:space="preserve">
SUMIFS(
INDIRECT(CONCATENATE("List!E$2:E$",#REF!)),
INDIRECT(CONCATENATE("List!G$2:G$",#REF!)),
$A$1,
INDIRECT(CONCATENATE("List!H$2:H$",#REF!)),
$A12,
INDIRECT(CONCATENATE("List!C$2:C$",#REF!)),#REF!)</f>
        <v>#REF!</v>
      </c>
      <c r="F12" s="14" t="e">
        <f ca="1" xml:space="preserve">
SUMIFS(
INDIRECT(CONCATENATE("List!E$2:E$",#REF!)),
INDIRECT(CONCATENATE("List!G$2:G$",#REF!)),
$A$1,
INDIRECT(CONCATENATE("List!H$2:H$",#REF!)),
$A12,
INDIRECT(CONCATENATE("List!C$2:C$",#REF!)),#REF!)</f>
        <v>#REF!</v>
      </c>
      <c r="G12" s="14" t="e">
        <f t="shared" ca="1" si="1"/>
        <v>#REF!</v>
      </c>
      <c r="H12" s="16" t="e">
        <f ca="1" xml:space="preserve">
SUMIFS(
INDIRECT(CONCATENATE("List!M$2:M$",#REF!)),
INDIRECT(CONCATENATE("List!G$2:G$",#REF!)),
$A$1,
INDIRECT(CONCATENATE("List!H$2:H$",#REF!)),
$A12,
INDIRECT(CONCATENATE("List!C$2:C$",#REF!)),#REF!)</f>
        <v>#REF!</v>
      </c>
    </row>
    <row r="13" spans="1:8" x14ac:dyDescent="0.2">
      <c r="A13" s="17">
        <v>11</v>
      </c>
      <c r="B13" s="14" t="e">
        <f ca="1" xml:space="preserve">
 COUNTIFS(
 INDIRECT(CONCATENATE("List!G$2:G$",#REF!)),
 $A$1,
 INDIRECT(CONCATENATE("List!H$2:H$",#REF!)),
 $A13,
 INDIRECT(CONCATENATE("List!C$2:C$",#REF!)),#REF!)</f>
        <v>#REF!</v>
      </c>
      <c r="C13" s="14" t="e">
        <f ca="1" xml:space="preserve">
 COUNTIFS(
 INDIRECT(CONCATENATE("List!G$2:G$",#REF!)),
 $A$1,
 INDIRECT(CONCATENATE("List!H$2:H$",#REF!)),
 $A13,
 INDIRECT(CONCATENATE("List!C$2:C$",#REF!)),#REF!)</f>
        <v>#REF!</v>
      </c>
      <c r="D13" s="14" t="e">
        <f t="shared" ca="1" si="0"/>
        <v>#REF!</v>
      </c>
      <c r="E13" s="14" t="e">
        <f ca="1" xml:space="preserve">
SUMIFS(
INDIRECT(CONCATENATE("List!E$2:E$",#REF!)),
INDIRECT(CONCATENATE("List!G$2:G$",#REF!)),
$A$1,
INDIRECT(CONCATENATE("List!H$2:H$",#REF!)),
$A13,
INDIRECT(CONCATENATE("List!C$2:C$",#REF!)),#REF!)</f>
        <v>#REF!</v>
      </c>
      <c r="F13" s="14" t="e">
        <f ca="1" xml:space="preserve">
SUMIFS(
INDIRECT(CONCATENATE("List!E$2:E$",#REF!)),
INDIRECT(CONCATENATE("List!G$2:G$",#REF!)),
$A$1,
INDIRECT(CONCATENATE("List!H$2:H$",#REF!)),
$A13,
INDIRECT(CONCATENATE("List!C$2:C$",#REF!)),#REF!)</f>
        <v>#REF!</v>
      </c>
      <c r="G13" s="14" t="e">
        <f t="shared" ca="1" si="1"/>
        <v>#REF!</v>
      </c>
      <c r="H13" s="16" t="e">
        <f ca="1" xml:space="preserve">
SUMIFS(
INDIRECT(CONCATENATE("List!M$2:M$",#REF!)),
INDIRECT(CONCATENATE("List!G$2:G$",#REF!)),
$A$1,
INDIRECT(CONCATENATE("List!H$2:H$",#REF!)),
$A13,
INDIRECT(CONCATENATE("List!C$2:C$",#REF!)),#REF!)</f>
        <v>#REF!</v>
      </c>
    </row>
    <row r="14" spans="1:8" x14ac:dyDescent="0.2">
      <c r="A14" s="17">
        <v>12</v>
      </c>
      <c r="B14" s="14" t="e">
        <f ca="1" xml:space="preserve">
 COUNTIFS(
 INDIRECT(CONCATENATE("List!G$2:G$",#REF!)),
 $A$1,
 INDIRECT(CONCATENATE("List!H$2:H$",#REF!)),
 $A14,
 INDIRECT(CONCATENATE("List!C$2:C$",#REF!)),#REF!)</f>
        <v>#REF!</v>
      </c>
      <c r="C14" s="14" t="e">
        <f ca="1" xml:space="preserve">
 COUNTIFS(
 INDIRECT(CONCATENATE("List!G$2:G$",#REF!)),
 $A$1,
 INDIRECT(CONCATENATE("List!H$2:H$",#REF!)),
 $A14,
 INDIRECT(CONCATENATE("List!C$2:C$",#REF!)),#REF!)</f>
        <v>#REF!</v>
      </c>
      <c r="D14" s="14" t="e">
        <f t="shared" ca="1" si="0"/>
        <v>#REF!</v>
      </c>
      <c r="E14" s="14" t="e">
        <f ca="1" xml:space="preserve">
SUMIFS(
INDIRECT(CONCATENATE("List!E$2:E$",#REF!)),
INDIRECT(CONCATENATE("List!G$2:G$",#REF!)),
$A$1,
INDIRECT(CONCATENATE("List!H$2:H$",#REF!)),
$A14,
INDIRECT(CONCATENATE("List!C$2:C$",#REF!)),#REF!)</f>
        <v>#REF!</v>
      </c>
      <c r="F14" s="14" t="e">
        <f ca="1" xml:space="preserve">
SUMIFS(
INDIRECT(CONCATENATE("List!E$2:E$",#REF!)),
INDIRECT(CONCATENATE("List!G$2:G$",#REF!)),
$A$1,
INDIRECT(CONCATENATE("List!H$2:H$",#REF!)),
$A14,
INDIRECT(CONCATENATE("List!C$2:C$",#REF!)),#REF!)</f>
        <v>#REF!</v>
      </c>
      <c r="G14" s="14" t="e">
        <f t="shared" ca="1" si="1"/>
        <v>#REF!</v>
      </c>
      <c r="H14" s="16" t="e">
        <f ca="1" xml:space="preserve">
SUMIFS(
INDIRECT(CONCATENATE("List!M$2:M$",#REF!)),
INDIRECT(CONCATENATE("List!G$2:G$",#REF!)),
$A$1,
INDIRECT(CONCATENATE("List!H$2:H$",#REF!)),
$A14,
INDIRECT(CONCATENATE("List!C$2:C$",#REF!)),#REF!)</f>
        <v>#REF!</v>
      </c>
    </row>
    <row r="15" spans="1:8" x14ac:dyDescent="0.2">
      <c r="A15" s="3"/>
      <c r="B15" s="3"/>
      <c r="C15" s="3"/>
      <c r="D15" s="3"/>
      <c r="E15" s="3"/>
      <c r="F15" s="3"/>
      <c r="G15" s="3"/>
      <c r="H15" s="3"/>
    </row>
    <row r="16" spans="1:8" x14ac:dyDescent="0.2">
      <c r="A16" s="18" t="s">
        <v>361</v>
      </c>
      <c r="B16" s="20" t="e">
        <f ca="1">SUM(B3:B14)</f>
        <v>#REF!</v>
      </c>
      <c r="C16" s="20" t="e">
        <f t="shared" ref="C16:H16" ca="1" si="2">SUM(C3:C14)</f>
        <v>#REF!</v>
      </c>
      <c r="D16" s="20" t="e">
        <f t="shared" ca="1" si="2"/>
        <v>#REF!</v>
      </c>
      <c r="E16" s="20" t="e">
        <f t="shared" ca="1" si="2"/>
        <v>#REF!</v>
      </c>
      <c r="F16" s="20" t="e">
        <f t="shared" ca="1" si="2"/>
        <v>#REF!</v>
      </c>
      <c r="G16" s="20" t="e">
        <f t="shared" ca="1" si="2"/>
        <v>#REF!</v>
      </c>
      <c r="H16" s="21" t="e">
        <f t="shared" ca="1" si="2"/>
        <v>#REF!</v>
      </c>
    </row>
  </sheetData>
  <mergeCells count="1">
    <mergeCell ref="A1:H1"/>
  </mergeCells>
  <conditionalFormatting sqref="B3:B14">
    <cfRule type="colorScale" priority="5">
      <colorScale>
        <cfvo type="min"/>
        <cfvo type="percentile" val="50"/>
        <cfvo type="max"/>
        <color rgb="FFF8696B"/>
        <color rgb="FFFFEB84"/>
        <color rgb="FF63BE7B"/>
      </colorScale>
    </cfRule>
  </conditionalFormatting>
  <conditionalFormatting sqref="C3:C14">
    <cfRule type="colorScale" priority="4">
      <colorScale>
        <cfvo type="min"/>
        <cfvo type="percentile" val="50"/>
        <cfvo type="max"/>
        <color rgb="FFF8696B"/>
        <color rgb="FFFFEB84"/>
        <color rgb="FF63BE7B"/>
      </colorScale>
    </cfRule>
  </conditionalFormatting>
  <conditionalFormatting sqref="E3:E14">
    <cfRule type="colorScale" priority="3">
      <colorScale>
        <cfvo type="min"/>
        <cfvo type="percentile" val="50"/>
        <cfvo type="max"/>
        <color rgb="FFF8696B"/>
        <color rgb="FFFFEB84"/>
        <color rgb="FF63BE7B"/>
      </colorScale>
    </cfRule>
  </conditionalFormatting>
  <conditionalFormatting sqref="F3:F14">
    <cfRule type="colorScale" priority="2">
      <colorScale>
        <cfvo type="min"/>
        <cfvo type="percentile" val="50"/>
        <cfvo type="max"/>
        <color rgb="FFF8696B"/>
        <color rgb="FFFFEB84"/>
        <color rgb="FF63BE7B"/>
      </colorScale>
    </cfRule>
  </conditionalFormatting>
  <conditionalFormatting sqref="H3:H1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U422"/>
  <sheetViews>
    <sheetView tabSelected="1" topLeftCell="L1" zoomScaleNormal="100" workbookViewId="0">
      <pane ySplit="1" topLeftCell="A395" activePane="bottomLeft" state="frozen"/>
      <selection pane="bottomLeft" activeCell="S416" sqref="S416"/>
    </sheetView>
  </sheetViews>
  <sheetFormatPr defaultColWidth="9.140625" defaultRowHeight="12" x14ac:dyDescent="0.2"/>
  <cols>
    <col min="1" max="1" width="57.42578125" style="1" customWidth="1"/>
    <col min="2" max="2" width="6.28515625" style="1" customWidth="1"/>
    <col min="3" max="3" width="10.5703125" style="1" customWidth="1"/>
    <col min="4" max="4" width="7.28515625" style="1" customWidth="1"/>
    <col min="5" max="5" width="8.5703125" style="1" customWidth="1"/>
    <col min="6" max="6" width="7.140625" style="1" customWidth="1"/>
    <col min="7" max="7" width="9.7109375" style="1" customWidth="1"/>
    <col min="8" max="8" width="8" style="1" customWidth="1"/>
    <col min="9" max="9" width="8.5703125" style="1" customWidth="1"/>
    <col min="10" max="10" width="11.140625" style="1" customWidth="1"/>
    <col min="11" max="11" width="16" style="1" customWidth="1"/>
    <col min="12" max="12" width="27.140625" style="1" customWidth="1"/>
    <col min="13" max="14" width="14.5703125" style="1" customWidth="1"/>
    <col min="15" max="15" width="8.42578125" style="1" customWidth="1"/>
    <col min="16" max="16" width="85.5703125" style="1" customWidth="1"/>
    <col min="17" max="17" width="21.140625" style="1" customWidth="1"/>
    <col min="18" max="18" width="12.5703125" style="1" customWidth="1"/>
    <col min="19" max="19" width="13.7109375" style="31" customWidth="1"/>
    <col min="20" max="20" width="9.140625" style="1"/>
    <col min="21" max="21" width="9.140625" style="31"/>
    <col min="22" max="16384" width="9.140625" style="1"/>
  </cols>
  <sheetData>
    <row r="1" spans="1:21" x14ac:dyDescent="0.2">
      <c r="A1" s="4" t="s">
        <v>1</v>
      </c>
      <c r="B1" s="6" t="s">
        <v>2</v>
      </c>
      <c r="C1" s="6" t="s">
        <v>20</v>
      </c>
      <c r="D1" s="6" t="s">
        <v>0</v>
      </c>
      <c r="E1" s="6" t="s">
        <v>633</v>
      </c>
      <c r="F1" s="6" t="s">
        <v>451</v>
      </c>
      <c r="G1" s="6" t="s">
        <v>539</v>
      </c>
      <c r="H1" s="6" t="s">
        <v>540</v>
      </c>
      <c r="I1" s="6" t="s">
        <v>541</v>
      </c>
      <c r="J1" s="6" t="s">
        <v>625</v>
      </c>
      <c r="K1" s="6" t="s">
        <v>626</v>
      </c>
      <c r="L1" s="6" t="s">
        <v>339</v>
      </c>
      <c r="M1" s="6" t="s">
        <v>576</v>
      </c>
      <c r="N1" s="6" t="s">
        <v>627</v>
      </c>
      <c r="O1" s="33" t="s">
        <v>631</v>
      </c>
      <c r="P1" s="19" t="s">
        <v>8</v>
      </c>
      <c r="Q1" s="6" t="s">
        <v>443</v>
      </c>
      <c r="R1" s="6" t="s">
        <v>628</v>
      </c>
      <c r="S1" s="6" t="s">
        <v>826</v>
      </c>
      <c r="T1" s="6" t="s">
        <v>866</v>
      </c>
      <c r="U1" s="6" t="s">
        <v>1203</v>
      </c>
    </row>
    <row r="2" spans="1:21" x14ac:dyDescent="0.2">
      <c r="A2" s="7" t="s">
        <v>3</v>
      </c>
      <c r="B2" s="9">
        <v>1993</v>
      </c>
      <c r="C2" s="9" t="s">
        <v>21</v>
      </c>
      <c r="D2" s="9" t="s">
        <v>4</v>
      </c>
      <c r="E2" s="9" t="s">
        <v>634</v>
      </c>
      <c r="F2" s="10">
        <v>288</v>
      </c>
      <c r="G2" s="9" t="s">
        <v>5</v>
      </c>
      <c r="H2" s="14">
        <f t="shared" ref="H2:H31" si="0">YEAR(G2)</f>
        <v>2016</v>
      </c>
      <c r="I2" s="14">
        <f t="shared" ref="I2:I31" si="1">MONTH(G2)</f>
        <v>5</v>
      </c>
      <c r="J2" s="11" t="s">
        <v>153</v>
      </c>
      <c r="K2" s="11" t="s">
        <v>153</v>
      </c>
      <c r="L2" s="11" t="s">
        <v>340</v>
      </c>
      <c r="M2" s="8">
        <v>2</v>
      </c>
      <c r="N2" s="34">
        <v>34.950000000000003</v>
      </c>
      <c r="O2" s="15" t="s">
        <v>632</v>
      </c>
      <c r="P2" s="22" t="s">
        <v>58</v>
      </c>
      <c r="Q2" s="9" t="s">
        <v>442</v>
      </c>
      <c r="R2" s="9" t="s">
        <v>153</v>
      </c>
      <c r="S2" s="14">
        <f t="shared" ref="S2:S31" si="2">LEN(P2)</f>
        <v>7</v>
      </c>
      <c r="T2" s="10">
        <v>356</v>
      </c>
      <c r="U2" s="14">
        <v>3</v>
      </c>
    </row>
    <row r="3" spans="1:21" x14ac:dyDescent="0.2">
      <c r="A3" s="7" t="s">
        <v>6</v>
      </c>
      <c r="B3" s="9">
        <v>2015</v>
      </c>
      <c r="C3" s="9" t="s">
        <v>21</v>
      </c>
      <c r="D3" s="9" t="s">
        <v>4</v>
      </c>
      <c r="E3" s="9" t="s">
        <v>634</v>
      </c>
      <c r="F3" s="10">
        <v>168</v>
      </c>
      <c r="G3" s="9" t="s">
        <v>7</v>
      </c>
      <c r="H3" s="14">
        <f t="shared" si="0"/>
        <v>2016</v>
      </c>
      <c r="I3" s="14">
        <f t="shared" si="1"/>
        <v>6</v>
      </c>
      <c r="J3" s="11" t="s">
        <v>153</v>
      </c>
      <c r="K3" s="11" t="s">
        <v>153</v>
      </c>
      <c r="L3" s="11" t="s">
        <v>341</v>
      </c>
      <c r="M3" s="8">
        <v>2</v>
      </c>
      <c r="N3" s="34">
        <v>34.99</v>
      </c>
      <c r="O3" s="15" t="s">
        <v>632</v>
      </c>
      <c r="P3" s="22" t="s">
        <v>58</v>
      </c>
      <c r="Q3" s="9" t="s">
        <v>839</v>
      </c>
      <c r="R3" s="9" t="s">
        <v>153</v>
      </c>
      <c r="S3" s="14">
        <f t="shared" si="2"/>
        <v>7</v>
      </c>
      <c r="T3" s="10">
        <v>345</v>
      </c>
      <c r="U3" s="14">
        <v>0</v>
      </c>
    </row>
    <row r="4" spans="1:21" x14ac:dyDescent="0.2">
      <c r="A4" s="7" t="s">
        <v>10</v>
      </c>
      <c r="B4" s="9">
        <v>2008</v>
      </c>
      <c r="C4" s="9" t="s">
        <v>21</v>
      </c>
      <c r="D4" s="9" t="s">
        <v>4</v>
      </c>
      <c r="E4" s="9" t="s">
        <v>634</v>
      </c>
      <c r="F4" s="10">
        <v>462</v>
      </c>
      <c r="G4" s="9" t="s">
        <v>11</v>
      </c>
      <c r="H4" s="14">
        <f t="shared" si="0"/>
        <v>2016</v>
      </c>
      <c r="I4" s="14">
        <f t="shared" si="1"/>
        <v>6</v>
      </c>
      <c r="J4" s="11" t="s">
        <v>153</v>
      </c>
      <c r="K4" s="11" t="s">
        <v>153</v>
      </c>
      <c r="L4" s="11" t="s">
        <v>342</v>
      </c>
      <c r="M4" s="8">
        <v>2</v>
      </c>
      <c r="N4" s="34">
        <v>31.87</v>
      </c>
      <c r="O4" s="15" t="s">
        <v>632</v>
      </c>
      <c r="P4" s="22" t="s">
        <v>58</v>
      </c>
      <c r="Q4" s="9" t="s">
        <v>442</v>
      </c>
      <c r="R4" s="9" t="s">
        <v>153</v>
      </c>
      <c r="S4" s="14">
        <f t="shared" si="2"/>
        <v>7</v>
      </c>
      <c r="T4" s="10">
        <v>378</v>
      </c>
      <c r="U4" s="14">
        <v>6</v>
      </c>
    </row>
    <row r="5" spans="1:21" x14ac:dyDescent="0.2">
      <c r="A5" s="7" t="s">
        <v>571</v>
      </c>
      <c r="B5" s="10">
        <v>2010</v>
      </c>
      <c r="C5" s="9" t="s">
        <v>21</v>
      </c>
      <c r="D5" s="9" t="s">
        <v>4</v>
      </c>
      <c r="E5" s="9" t="s">
        <v>634</v>
      </c>
      <c r="F5" s="10">
        <v>149</v>
      </c>
      <c r="G5" s="9" t="s">
        <v>12</v>
      </c>
      <c r="H5" s="14">
        <f t="shared" si="0"/>
        <v>2016</v>
      </c>
      <c r="I5" s="14">
        <f t="shared" si="1"/>
        <v>6</v>
      </c>
      <c r="J5" s="11" t="s">
        <v>153</v>
      </c>
      <c r="K5" s="11" t="s">
        <v>153</v>
      </c>
      <c r="L5" s="11" t="s">
        <v>343</v>
      </c>
      <c r="M5" s="8">
        <v>1</v>
      </c>
      <c r="N5" s="34">
        <v>39.99</v>
      </c>
      <c r="O5" s="15" t="s">
        <v>632</v>
      </c>
      <c r="P5" s="22" t="s">
        <v>650</v>
      </c>
      <c r="Q5" s="9" t="s">
        <v>839</v>
      </c>
      <c r="R5" s="9" t="s">
        <v>153</v>
      </c>
      <c r="S5" s="14">
        <f t="shared" si="2"/>
        <v>40</v>
      </c>
      <c r="T5" s="10">
        <v>0</v>
      </c>
      <c r="U5" s="14">
        <v>0</v>
      </c>
    </row>
    <row r="6" spans="1:21" x14ac:dyDescent="0.2">
      <c r="A6" s="7" t="s">
        <v>13</v>
      </c>
      <c r="B6" s="10">
        <v>2015</v>
      </c>
      <c r="C6" s="9" t="s">
        <v>21</v>
      </c>
      <c r="D6" s="9" t="s">
        <v>4</v>
      </c>
      <c r="E6" s="9" t="s">
        <v>634</v>
      </c>
      <c r="F6" s="10">
        <v>142</v>
      </c>
      <c r="G6" s="9" t="s">
        <v>12</v>
      </c>
      <c r="H6" s="14">
        <f t="shared" si="0"/>
        <v>2016</v>
      </c>
      <c r="I6" s="14">
        <f t="shared" si="1"/>
        <v>6</v>
      </c>
      <c r="J6" s="11" t="s">
        <v>153</v>
      </c>
      <c r="K6" s="11" t="s">
        <v>153</v>
      </c>
      <c r="L6" s="11" t="s">
        <v>343</v>
      </c>
      <c r="M6" s="8">
        <v>3</v>
      </c>
      <c r="N6" s="34">
        <v>24.58</v>
      </c>
      <c r="O6" s="15" t="s">
        <v>632</v>
      </c>
      <c r="P6" s="22" t="s">
        <v>662</v>
      </c>
      <c r="Q6" s="9" t="s">
        <v>839</v>
      </c>
      <c r="R6" s="9" t="s">
        <v>153</v>
      </c>
      <c r="S6" s="14">
        <f t="shared" si="2"/>
        <v>50</v>
      </c>
      <c r="T6" s="10">
        <v>121</v>
      </c>
      <c r="U6" s="14">
        <v>0</v>
      </c>
    </row>
    <row r="7" spans="1:21" x14ac:dyDescent="0.2">
      <c r="A7" s="7" t="s">
        <v>14</v>
      </c>
      <c r="B7" s="10">
        <v>2015</v>
      </c>
      <c r="C7" s="9" t="s">
        <v>21</v>
      </c>
      <c r="D7" s="9" t="s">
        <v>4</v>
      </c>
      <c r="E7" s="9" t="s">
        <v>634</v>
      </c>
      <c r="F7" s="10">
        <v>190</v>
      </c>
      <c r="G7" s="9" t="s">
        <v>12</v>
      </c>
      <c r="H7" s="14">
        <f t="shared" si="0"/>
        <v>2016</v>
      </c>
      <c r="I7" s="14">
        <f t="shared" si="1"/>
        <v>6</v>
      </c>
      <c r="J7" s="11" t="s">
        <v>153</v>
      </c>
      <c r="K7" s="11" t="s">
        <v>153</v>
      </c>
      <c r="L7" s="11" t="s">
        <v>341</v>
      </c>
      <c r="M7" s="8">
        <v>2</v>
      </c>
      <c r="N7" s="34">
        <v>29.99</v>
      </c>
      <c r="O7" s="15" t="s">
        <v>632</v>
      </c>
      <c r="P7" s="22" t="s">
        <v>661</v>
      </c>
      <c r="Q7" s="9" t="s">
        <v>839</v>
      </c>
      <c r="R7" s="9" t="s">
        <v>153</v>
      </c>
      <c r="S7" s="14">
        <f t="shared" si="2"/>
        <v>58</v>
      </c>
      <c r="T7" s="10">
        <v>347</v>
      </c>
      <c r="U7" s="41">
        <v>0</v>
      </c>
    </row>
    <row r="8" spans="1:21" x14ac:dyDescent="0.2">
      <c r="A8" s="7" t="s">
        <v>15</v>
      </c>
      <c r="B8" s="10">
        <v>2010</v>
      </c>
      <c r="C8" s="9" t="s">
        <v>21</v>
      </c>
      <c r="D8" s="9" t="s">
        <v>4</v>
      </c>
      <c r="E8" s="9" t="s">
        <v>634</v>
      </c>
      <c r="F8" s="10">
        <v>310</v>
      </c>
      <c r="G8" s="9" t="s">
        <v>16</v>
      </c>
      <c r="H8" s="14">
        <f t="shared" si="0"/>
        <v>2016</v>
      </c>
      <c r="I8" s="14">
        <f t="shared" si="1"/>
        <v>6</v>
      </c>
      <c r="J8" s="11" t="s">
        <v>152</v>
      </c>
      <c r="K8" s="11" t="s">
        <v>152</v>
      </c>
      <c r="L8" s="11" t="s">
        <v>343</v>
      </c>
      <c r="M8" s="8">
        <v>4</v>
      </c>
      <c r="N8" s="34">
        <v>41.19</v>
      </c>
      <c r="O8" s="15" t="s">
        <v>632</v>
      </c>
      <c r="P8" s="22" t="s">
        <v>660</v>
      </c>
      <c r="Q8" s="9" t="s">
        <v>839</v>
      </c>
      <c r="R8" s="9" t="s">
        <v>153</v>
      </c>
      <c r="S8" s="14">
        <f t="shared" si="2"/>
        <v>115</v>
      </c>
      <c r="T8" s="10">
        <v>589</v>
      </c>
      <c r="U8" s="14">
        <v>3</v>
      </c>
    </row>
    <row r="9" spans="1:21" x14ac:dyDescent="0.2">
      <c r="A9" s="7" t="s">
        <v>17</v>
      </c>
      <c r="B9" s="10">
        <v>2013</v>
      </c>
      <c r="C9" s="9" t="s">
        <v>21</v>
      </c>
      <c r="D9" s="9" t="s">
        <v>4</v>
      </c>
      <c r="E9" s="9" t="s">
        <v>634</v>
      </c>
      <c r="F9" s="10">
        <v>233</v>
      </c>
      <c r="G9" s="9" t="s">
        <v>18</v>
      </c>
      <c r="H9" s="14">
        <f t="shared" si="0"/>
        <v>2016</v>
      </c>
      <c r="I9" s="14">
        <f t="shared" si="1"/>
        <v>6</v>
      </c>
      <c r="J9" s="11" t="s">
        <v>153</v>
      </c>
      <c r="K9" s="11" t="s">
        <v>152</v>
      </c>
      <c r="L9" s="11" t="s">
        <v>343</v>
      </c>
      <c r="M9" s="8">
        <v>3</v>
      </c>
      <c r="N9" s="34">
        <v>11.42</v>
      </c>
      <c r="O9" s="15" t="s">
        <v>632</v>
      </c>
      <c r="P9" s="22" t="s">
        <v>651</v>
      </c>
      <c r="Q9" s="9" t="s">
        <v>839</v>
      </c>
      <c r="R9" s="9" t="s">
        <v>153</v>
      </c>
      <c r="S9" s="14">
        <f t="shared" si="2"/>
        <v>90</v>
      </c>
      <c r="T9" s="10">
        <v>70</v>
      </c>
      <c r="U9" s="14">
        <v>0</v>
      </c>
    </row>
    <row r="10" spans="1:21" x14ac:dyDescent="0.2">
      <c r="A10" s="7" t="s">
        <v>19</v>
      </c>
      <c r="B10" s="10">
        <v>2016</v>
      </c>
      <c r="C10" s="9" t="s">
        <v>21</v>
      </c>
      <c r="D10" s="9" t="s">
        <v>4</v>
      </c>
      <c r="E10" s="9" t="s">
        <v>634</v>
      </c>
      <c r="F10" s="10">
        <v>80</v>
      </c>
      <c r="G10" s="9" t="s">
        <v>18</v>
      </c>
      <c r="H10" s="14">
        <f t="shared" si="0"/>
        <v>2016</v>
      </c>
      <c r="I10" s="14">
        <f t="shared" si="1"/>
        <v>6</v>
      </c>
      <c r="J10" s="11" t="s">
        <v>153</v>
      </c>
      <c r="K10" s="11" t="s">
        <v>153</v>
      </c>
      <c r="L10" s="11" t="s">
        <v>344</v>
      </c>
      <c r="M10" s="8">
        <v>1</v>
      </c>
      <c r="N10" s="34">
        <v>3.74</v>
      </c>
      <c r="O10" s="15" t="s">
        <v>632</v>
      </c>
      <c r="P10" s="22" t="s">
        <v>652</v>
      </c>
      <c r="Q10" s="9" t="s">
        <v>442</v>
      </c>
      <c r="R10" s="9" t="s">
        <v>153</v>
      </c>
      <c r="S10" s="14">
        <f t="shared" si="2"/>
        <v>48</v>
      </c>
      <c r="T10" s="10">
        <v>130</v>
      </c>
      <c r="U10" s="14">
        <v>1</v>
      </c>
    </row>
    <row r="11" spans="1:21" x14ac:dyDescent="0.2">
      <c r="A11" s="7" t="s">
        <v>22</v>
      </c>
      <c r="B11" s="10">
        <v>2013</v>
      </c>
      <c r="C11" s="9" t="s">
        <v>21</v>
      </c>
      <c r="D11" s="9" t="s">
        <v>4</v>
      </c>
      <c r="E11" s="9" t="s">
        <v>634</v>
      </c>
      <c r="F11" s="10">
        <v>249</v>
      </c>
      <c r="G11" s="9" t="s">
        <v>26</v>
      </c>
      <c r="H11" s="14">
        <f t="shared" si="0"/>
        <v>2016</v>
      </c>
      <c r="I11" s="14">
        <f t="shared" si="1"/>
        <v>7</v>
      </c>
      <c r="J11" s="11" t="s">
        <v>153</v>
      </c>
      <c r="K11" s="11" t="s">
        <v>153</v>
      </c>
      <c r="L11" s="11" t="s">
        <v>345</v>
      </c>
      <c r="M11" s="8">
        <v>2</v>
      </c>
      <c r="N11" s="34">
        <v>30.44</v>
      </c>
      <c r="O11" s="15" t="s">
        <v>632</v>
      </c>
      <c r="P11" s="22" t="s">
        <v>58</v>
      </c>
      <c r="Q11" s="9" t="s">
        <v>442</v>
      </c>
      <c r="R11" s="9" t="s">
        <v>153</v>
      </c>
      <c r="S11" s="14">
        <f t="shared" si="2"/>
        <v>7</v>
      </c>
      <c r="T11" s="10">
        <v>281</v>
      </c>
      <c r="U11" s="14">
        <v>0</v>
      </c>
    </row>
    <row r="12" spans="1:21" x14ac:dyDescent="0.2">
      <c r="A12" s="7" t="s">
        <v>33</v>
      </c>
      <c r="B12" s="10">
        <v>1997</v>
      </c>
      <c r="C12" s="9" t="s">
        <v>21</v>
      </c>
      <c r="D12" s="9" t="s">
        <v>4</v>
      </c>
      <c r="E12" s="9" t="s">
        <v>634</v>
      </c>
      <c r="F12" s="10">
        <v>237</v>
      </c>
      <c r="G12" s="9" t="s">
        <v>34</v>
      </c>
      <c r="H12" s="14">
        <f t="shared" si="0"/>
        <v>2016</v>
      </c>
      <c r="I12" s="14">
        <f t="shared" si="1"/>
        <v>7</v>
      </c>
      <c r="J12" s="11" t="s">
        <v>153</v>
      </c>
      <c r="K12" s="11" t="s">
        <v>153</v>
      </c>
      <c r="L12" s="11" t="s">
        <v>342</v>
      </c>
      <c r="M12" s="8">
        <v>3</v>
      </c>
      <c r="N12" s="34">
        <v>60</v>
      </c>
      <c r="O12" s="15" t="s">
        <v>632</v>
      </c>
      <c r="P12" s="22" t="s">
        <v>658</v>
      </c>
      <c r="Q12" s="9" t="s">
        <v>442</v>
      </c>
      <c r="R12" s="9" t="s">
        <v>153</v>
      </c>
      <c r="S12" s="14">
        <f t="shared" si="2"/>
        <v>93</v>
      </c>
      <c r="T12" s="10">
        <v>120</v>
      </c>
      <c r="U12" s="14">
        <v>2</v>
      </c>
    </row>
    <row r="13" spans="1:21" x14ac:dyDescent="0.2">
      <c r="A13" s="7" t="s">
        <v>62</v>
      </c>
      <c r="B13" s="10">
        <v>2013</v>
      </c>
      <c r="C13" s="9" t="s">
        <v>21</v>
      </c>
      <c r="D13" s="9" t="s">
        <v>4</v>
      </c>
      <c r="E13" s="9" t="s">
        <v>634</v>
      </c>
      <c r="F13" s="10">
        <v>824</v>
      </c>
      <c r="G13" s="9" t="s">
        <v>61</v>
      </c>
      <c r="H13" s="14">
        <f t="shared" si="0"/>
        <v>2016</v>
      </c>
      <c r="I13" s="14">
        <f t="shared" si="1"/>
        <v>7</v>
      </c>
      <c r="J13" s="11" t="s">
        <v>152</v>
      </c>
      <c r="K13" s="11" t="s">
        <v>153</v>
      </c>
      <c r="L13" s="11" t="s">
        <v>340</v>
      </c>
      <c r="M13" s="8">
        <v>4</v>
      </c>
      <c r="N13" s="34">
        <v>49</v>
      </c>
      <c r="O13" s="15" t="s">
        <v>632</v>
      </c>
      <c r="P13" s="22" t="s">
        <v>659</v>
      </c>
      <c r="Q13" s="9" t="s">
        <v>441</v>
      </c>
      <c r="R13" s="9" t="s">
        <v>153</v>
      </c>
      <c r="S13" s="14">
        <f t="shared" si="2"/>
        <v>84</v>
      </c>
      <c r="T13" s="10">
        <v>2142</v>
      </c>
      <c r="U13" s="14">
        <v>2</v>
      </c>
    </row>
    <row r="14" spans="1:21" x14ac:dyDescent="0.2">
      <c r="A14" s="7" t="s">
        <v>63</v>
      </c>
      <c r="B14" s="10">
        <v>2009</v>
      </c>
      <c r="C14" s="9" t="s">
        <v>21</v>
      </c>
      <c r="D14" s="9" t="s">
        <v>4</v>
      </c>
      <c r="E14" s="9" t="s">
        <v>634</v>
      </c>
      <c r="F14" s="10">
        <v>448</v>
      </c>
      <c r="G14" s="9" t="s">
        <v>64</v>
      </c>
      <c r="H14" s="14">
        <f t="shared" si="0"/>
        <v>2016</v>
      </c>
      <c r="I14" s="14">
        <f t="shared" si="1"/>
        <v>7</v>
      </c>
      <c r="J14" s="11" t="s">
        <v>153</v>
      </c>
      <c r="K14" s="11" t="s">
        <v>153</v>
      </c>
      <c r="L14" s="11" t="s">
        <v>346</v>
      </c>
      <c r="M14" s="8">
        <v>2</v>
      </c>
      <c r="N14" s="34">
        <v>64</v>
      </c>
      <c r="O14" s="15" t="s">
        <v>632</v>
      </c>
      <c r="P14" s="22" t="s">
        <v>653</v>
      </c>
      <c r="Q14" s="9" t="s">
        <v>441</v>
      </c>
      <c r="R14" s="9" t="s">
        <v>153</v>
      </c>
      <c r="S14" s="14">
        <f t="shared" si="2"/>
        <v>103</v>
      </c>
      <c r="T14" s="10">
        <v>316</v>
      </c>
      <c r="U14" s="14">
        <v>4</v>
      </c>
    </row>
    <row r="15" spans="1:21" x14ac:dyDescent="0.2">
      <c r="A15" s="7" t="s">
        <v>1190</v>
      </c>
      <c r="B15" s="14">
        <v>2014</v>
      </c>
      <c r="C15" s="9" t="s">
        <v>21</v>
      </c>
      <c r="D15" s="9" t="s">
        <v>4</v>
      </c>
      <c r="E15" s="9" t="s">
        <v>634</v>
      </c>
      <c r="F15" s="14">
        <v>272</v>
      </c>
      <c r="G15" s="9" t="s">
        <v>1191</v>
      </c>
      <c r="H15" s="14">
        <f>YEAR(G15)</f>
        <v>2016</v>
      </c>
      <c r="I15" s="14">
        <f>MONTH(G15)</f>
        <v>7</v>
      </c>
      <c r="J15" s="11" t="s">
        <v>152</v>
      </c>
      <c r="K15" s="11" t="s">
        <v>152</v>
      </c>
      <c r="L15" s="11" t="s">
        <v>352</v>
      </c>
      <c r="M15" s="8">
        <v>4</v>
      </c>
      <c r="N15" s="34">
        <v>19.989999999999998</v>
      </c>
      <c r="O15" s="15" t="s">
        <v>632</v>
      </c>
      <c r="P15" s="22" t="s">
        <v>1192</v>
      </c>
      <c r="Q15" s="9" t="s">
        <v>1195</v>
      </c>
      <c r="R15" s="9" t="s">
        <v>153</v>
      </c>
      <c r="S15" s="14">
        <f t="shared" si="2"/>
        <v>63</v>
      </c>
      <c r="T15" s="10">
        <v>1431</v>
      </c>
      <c r="U15" s="14">
        <v>1</v>
      </c>
    </row>
    <row r="16" spans="1:21" x14ac:dyDescent="0.2">
      <c r="A16" s="7" t="s">
        <v>70</v>
      </c>
      <c r="B16" s="8">
        <v>2014</v>
      </c>
      <c r="C16" s="9" t="s">
        <v>21</v>
      </c>
      <c r="D16" s="9" t="s">
        <v>4</v>
      </c>
      <c r="E16" s="9" t="s">
        <v>634</v>
      </c>
      <c r="F16" s="10">
        <v>117</v>
      </c>
      <c r="G16" s="9" t="s">
        <v>71</v>
      </c>
      <c r="H16" s="14">
        <f t="shared" si="0"/>
        <v>2016</v>
      </c>
      <c r="I16" s="14">
        <f t="shared" si="1"/>
        <v>8</v>
      </c>
      <c r="J16" s="11" t="s">
        <v>152</v>
      </c>
      <c r="K16" s="11" t="s">
        <v>152</v>
      </c>
      <c r="L16" s="11" t="s">
        <v>570</v>
      </c>
      <c r="M16" s="8">
        <v>3</v>
      </c>
      <c r="N16" s="35">
        <v>0</v>
      </c>
      <c r="O16" s="15" t="s">
        <v>632</v>
      </c>
      <c r="P16" s="22" t="s">
        <v>657</v>
      </c>
      <c r="Q16" s="9" t="s">
        <v>442</v>
      </c>
      <c r="R16" s="9" t="s">
        <v>153</v>
      </c>
      <c r="S16" s="14">
        <f t="shared" si="2"/>
        <v>22</v>
      </c>
      <c r="T16" s="10">
        <v>1063</v>
      </c>
      <c r="U16" s="14">
        <v>1</v>
      </c>
    </row>
    <row r="17" spans="1:21" x14ac:dyDescent="0.2">
      <c r="A17" s="7" t="s">
        <v>73</v>
      </c>
      <c r="B17" s="10">
        <v>2002</v>
      </c>
      <c r="C17" s="9" t="s">
        <v>21</v>
      </c>
      <c r="D17" s="9" t="s">
        <v>4</v>
      </c>
      <c r="E17" s="9" t="s">
        <v>634</v>
      </c>
      <c r="F17" s="10">
        <v>217</v>
      </c>
      <c r="G17" s="9" t="s">
        <v>74</v>
      </c>
      <c r="H17" s="14">
        <f t="shared" si="0"/>
        <v>2016</v>
      </c>
      <c r="I17" s="14">
        <f t="shared" si="1"/>
        <v>8</v>
      </c>
      <c r="J17" s="11" t="s">
        <v>153</v>
      </c>
      <c r="K17" s="11" t="s">
        <v>152</v>
      </c>
      <c r="L17" s="11" t="s">
        <v>346</v>
      </c>
      <c r="M17" s="8">
        <v>4</v>
      </c>
      <c r="N17" s="34">
        <v>49</v>
      </c>
      <c r="O17" s="15" t="s">
        <v>632</v>
      </c>
      <c r="P17" s="22" t="s">
        <v>654</v>
      </c>
      <c r="Q17" s="9" t="s">
        <v>442</v>
      </c>
      <c r="R17" s="9" t="s">
        <v>153</v>
      </c>
      <c r="S17" s="14">
        <f t="shared" si="2"/>
        <v>125</v>
      </c>
      <c r="T17" s="10">
        <v>119</v>
      </c>
      <c r="U17" s="14">
        <v>1</v>
      </c>
    </row>
    <row r="18" spans="1:21" x14ac:dyDescent="0.2">
      <c r="A18" s="7" t="s">
        <v>1135</v>
      </c>
      <c r="B18" s="10">
        <v>2015</v>
      </c>
      <c r="C18" s="9" t="s">
        <v>21</v>
      </c>
      <c r="D18" s="9" t="s">
        <v>4</v>
      </c>
      <c r="E18" s="9" t="s">
        <v>634</v>
      </c>
      <c r="F18" s="10">
        <v>256</v>
      </c>
      <c r="G18" s="9" t="s">
        <v>75</v>
      </c>
      <c r="H18" s="14">
        <f t="shared" si="0"/>
        <v>2016</v>
      </c>
      <c r="I18" s="14">
        <f t="shared" si="1"/>
        <v>9</v>
      </c>
      <c r="J18" s="11" t="s">
        <v>152</v>
      </c>
      <c r="K18" s="11" t="s">
        <v>153</v>
      </c>
      <c r="L18" s="11" t="s">
        <v>343</v>
      </c>
      <c r="M18" s="8">
        <v>4</v>
      </c>
      <c r="N18" s="34">
        <v>39</v>
      </c>
      <c r="O18" s="15" t="s">
        <v>632</v>
      </c>
      <c r="P18" s="22" t="s">
        <v>655</v>
      </c>
      <c r="Q18" s="9" t="s">
        <v>538</v>
      </c>
      <c r="R18" s="9" t="s">
        <v>153</v>
      </c>
      <c r="S18" s="14">
        <f t="shared" si="2"/>
        <v>62</v>
      </c>
      <c r="T18" s="10">
        <v>357</v>
      </c>
      <c r="U18" s="14">
        <v>0</v>
      </c>
    </row>
    <row r="19" spans="1:21" x14ac:dyDescent="0.2">
      <c r="A19" s="7" t="s">
        <v>82</v>
      </c>
      <c r="B19" s="10">
        <v>2010</v>
      </c>
      <c r="C19" s="9" t="s">
        <v>21</v>
      </c>
      <c r="D19" s="9" t="s">
        <v>4</v>
      </c>
      <c r="E19" s="9" t="s">
        <v>634</v>
      </c>
      <c r="F19" s="10">
        <v>224</v>
      </c>
      <c r="G19" s="9" t="s">
        <v>78</v>
      </c>
      <c r="H19" s="14">
        <f t="shared" si="0"/>
        <v>2016</v>
      </c>
      <c r="I19" s="14">
        <f t="shared" si="1"/>
        <v>9</v>
      </c>
      <c r="J19" s="11" t="s">
        <v>153</v>
      </c>
      <c r="K19" s="11" t="s">
        <v>153</v>
      </c>
      <c r="L19" s="11" t="s">
        <v>341</v>
      </c>
      <c r="M19" s="8">
        <v>1</v>
      </c>
      <c r="N19" s="34">
        <v>30</v>
      </c>
      <c r="O19" s="15" t="s">
        <v>632</v>
      </c>
      <c r="P19" s="37" t="s">
        <v>60</v>
      </c>
      <c r="Q19" s="9" t="s">
        <v>1199</v>
      </c>
      <c r="R19" s="9" t="s">
        <v>153</v>
      </c>
      <c r="S19" s="14">
        <f t="shared" si="2"/>
        <v>8</v>
      </c>
      <c r="T19" s="10">
        <v>8</v>
      </c>
      <c r="U19" s="14">
        <v>0</v>
      </c>
    </row>
    <row r="20" spans="1:21" x14ac:dyDescent="0.2">
      <c r="A20" s="7" t="s">
        <v>1136</v>
      </c>
      <c r="B20" s="10">
        <v>2014</v>
      </c>
      <c r="C20" s="9" t="s">
        <v>21</v>
      </c>
      <c r="D20" s="9" t="s">
        <v>4</v>
      </c>
      <c r="E20" s="9" t="s">
        <v>634</v>
      </c>
      <c r="F20" s="10">
        <v>294</v>
      </c>
      <c r="G20" s="9" t="s">
        <v>83</v>
      </c>
      <c r="H20" s="14">
        <f t="shared" si="0"/>
        <v>2016</v>
      </c>
      <c r="I20" s="14">
        <f t="shared" si="1"/>
        <v>9</v>
      </c>
      <c r="J20" s="11" t="s">
        <v>152</v>
      </c>
      <c r="K20" s="11" t="s">
        <v>152</v>
      </c>
      <c r="L20" s="11" t="s">
        <v>345</v>
      </c>
      <c r="M20" s="8">
        <v>4</v>
      </c>
      <c r="N20" s="34">
        <v>44</v>
      </c>
      <c r="O20" s="15" t="s">
        <v>632</v>
      </c>
      <c r="P20" s="22" t="s">
        <v>656</v>
      </c>
      <c r="Q20" s="9" t="s">
        <v>441</v>
      </c>
      <c r="R20" s="9" t="s">
        <v>153</v>
      </c>
      <c r="S20" s="14">
        <f t="shared" si="2"/>
        <v>65</v>
      </c>
      <c r="T20" s="10">
        <v>1373</v>
      </c>
      <c r="U20" s="14">
        <v>0</v>
      </c>
    </row>
    <row r="21" spans="1:21" x14ac:dyDescent="0.2">
      <c r="A21" s="7" t="s">
        <v>89</v>
      </c>
      <c r="B21" s="8">
        <v>2003</v>
      </c>
      <c r="C21" s="9" t="s">
        <v>21</v>
      </c>
      <c r="D21" s="9" t="s">
        <v>4</v>
      </c>
      <c r="E21" s="9" t="s">
        <v>634</v>
      </c>
      <c r="F21" s="10">
        <v>189</v>
      </c>
      <c r="G21" s="9" t="s">
        <v>87</v>
      </c>
      <c r="H21" s="14">
        <f t="shared" si="0"/>
        <v>2016</v>
      </c>
      <c r="I21" s="14">
        <f t="shared" si="1"/>
        <v>9</v>
      </c>
      <c r="J21" s="11" t="s">
        <v>153</v>
      </c>
      <c r="K21" s="11" t="s">
        <v>153</v>
      </c>
      <c r="L21" s="11" t="s">
        <v>347</v>
      </c>
      <c r="M21" s="8">
        <v>2</v>
      </c>
      <c r="N21" s="34">
        <v>62</v>
      </c>
      <c r="O21" s="15" t="s">
        <v>632</v>
      </c>
      <c r="P21" s="22" t="s">
        <v>664</v>
      </c>
      <c r="Q21" s="9" t="s">
        <v>442</v>
      </c>
      <c r="R21" s="9" t="s">
        <v>153</v>
      </c>
      <c r="S21" s="14">
        <f t="shared" si="2"/>
        <v>91</v>
      </c>
      <c r="T21" s="10">
        <v>522</v>
      </c>
      <c r="U21" s="14">
        <v>0</v>
      </c>
    </row>
    <row r="22" spans="1:21" x14ac:dyDescent="0.2">
      <c r="A22" s="7" t="s">
        <v>97</v>
      </c>
      <c r="B22" s="10">
        <v>2002</v>
      </c>
      <c r="C22" s="9" t="s">
        <v>21</v>
      </c>
      <c r="D22" s="9" t="s">
        <v>4</v>
      </c>
      <c r="E22" s="9" t="s">
        <v>634</v>
      </c>
      <c r="F22" s="10">
        <v>197</v>
      </c>
      <c r="G22" s="9" t="s">
        <v>98</v>
      </c>
      <c r="H22" s="14">
        <f t="shared" si="0"/>
        <v>2016</v>
      </c>
      <c r="I22" s="14">
        <f t="shared" si="1"/>
        <v>10</v>
      </c>
      <c r="J22" s="11" t="s">
        <v>153</v>
      </c>
      <c r="K22" s="11" t="s">
        <v>153</v>
      </c>
      <c r="L22" s="11" t="s">
        <v>343</v>
      </c>
      <c r="M22" s="8">
        <v>2</v>
      </c>
      <c r="N22" s="34">
        <v>31</v>
      </c>
      <c r="O22" s="15" t="s">
        <v>632</v>
      </c>
      <c r="P22" s="22" t="s">
        <v>663</v>
      </c>
      <c r="Q22" s="9" t="s">
        <v>1199</v>
      </c>
      <c r="R22" s="9" t="s">
        <v>153</v>
      </c>
      <c r="S22" s="14">
        <f t="shared" si="2"/>
        <v>64</v>
      </c>
      <c r="T22" s="10">
        <v>159</v>
      </c>
      <c r="U22" s="14">
        <v>0</v>
      </c>
    </row>
    <row r="23" spans="1:21" x14ac:dyDescent="0.2">
      <c r="A23" s="7" t="s">
        <v>100</v>
      </c>
      <c r="B23" s="8">
        <v>2016</v>
      </c>
      <c r="C23" s="9" t="s">
        <v>21</v>
      </c>
      <c r="D23" s="9" t="s">
        <v>4</v>
      </c>
      <c r="E23" s="9" t="s">
        <v>634</v>
      </c>
      <c r="F23" s="10">
        <v>78</v>
      </c>
      <c r="G23" s="9" t="s">
        <v>99</v>
      </c>
      <c r="H23" s="14">
        <f t="shared" si="0"/>
        <v>2016</v>
      </c>
      <c r="I23" s="14">
        <f t="shared" si="1"/>
        <v>10</v>
      </c>
      <c r="J23" s="11" t="s">
        <v>153</v>
      </c>
      <c r="K23" s="11" t="s">
        <v>153</v>
      </c>
      <c r="L23" s="11" t="s">
        <v>570</v>
      </c>
      <c r="M23" s="8">
        <v>1</v>
      </c>
      <c r="N23" s="35">
        <v>0</v>
      </c>
      <c r="O23" s="15" t="s">
        <v>632</v>
      </c>
      <c r="P23" s="37" t="s">
        <v>60</v>
      </c>
      <c r="Q23" s="9" t="s">
        <v>442</v>
      </c>
      <c r="R23" s="9" t="s">
        <v>153</v>
      </c>
      <c r="S23" s="14">
        <f t="shared" si="2"/>
        <v>8</v>
      </c>
      <c r="T23" s="10">
        <v>209</v>
      </c>
      <c r="U23" s="14">
        <v>1</v>
      </c>
    </row>
    <row r="24" spans="1:21" x14ac:dyDescent="0.2">
      <c r="A24" s="7" t="s">
        <v>101</v>
      </c>
      <c r="B24" s="10">
        <v>2012</v>
      </c>
      <c r="C24" s="9" t="s">
        <v>21</v>
      </c>
      <c r="D24" s="9" t="s">
        <v>4</v>
      </c>
      <c r="E24" s="9" t="s">
        <v>634</v>
      </c>
      <c r="F24" s="10">
        <v>108</v>
      </c>
      <c r="G24" s="9" t="s">
        <v>102</v>
      </c>
      <c r="H24" s="14">
        <f t="shared" si="0"/>
        <v>2016</v>
      </c>
      <c r="I24" s="14">
        <f t="shared" si="1"/>
        <v>11</v>
      </c>
      <c r="J24" s="11" t="s">
        <v>153</v>
      </c>
      <c r="K24" s="11" t="s">
        <v>153</v>
      </c>
      <c r="L24" s="11" t="s">
        <v>343</v>
      </c>
      <c r="M24" s="8">
        <v>1</v>
      </c>
      <c r="N24" s="34">
        <v>19.989999999999998</v>
      </c>
      <c r="O24" s="15" t="s">
        <v>632</v>
      </c>
      <c r="P24" s="22" t="s">
        <v>60</v>
      </c>
      <c r="Q24" s="9" t="s">
        <v>441</v>
      </c>
      <c r="R24" s="9" t="s">
        <v>153</v>
      </c>
      <c r="S24" s="14">
        <f t="shared" si="2"/>
        <v>8</v>
      </c>
      <c r="T24" s="10">
        <v>0</v>
      </c>
      <c r="U24" s="14">
        <v>0</v>
      </c>
    </row>
    <row r="25" spans="1:21" x14ac:dyDescent="0.2">
      <c r="A25" s="7" t="s">
        <v>103</v>
      </c>
      <c r="B25" s="10">
        <v>2008</v>
      </c>
      <c r="C25" s="9" t="s">
        <v>21</v>
      </c>
      <c r="D25" s="9" t="s">
        <v>4</v>
      </c>
      <c r="E25" s="9" t="s">
        <v>634</v>
      </c>
      <c r="F25" s="10">
        <v>512</v>
      </c>
      <c r="G25" s="9" t="s">
        <v>104</v>
      </c>
      <c r="H25" s="14">
        <f t="shared" si="0"/>
        <v>2016</v>
      </c>
      <c r="I25" s="14">
        <f t="shared" si="1"/>
        <v>11</v>
      </c>
      <c r="J25" s="11" t="s">
        <v>153</v>
      </c>
      <c r="K25" s="11" t="s">
        <v>153</v>
      </c>
      <c r="L25" s="11" t="s">
        <v>348</v>
      </c>
      <c r="M25" s="8">
        <v>3</v>
      </c>
      <c r="N25" s="34">
        <v>34.11</v>
      </c>
      <c r="O25" s="15" t="s">
        <v>632</v>
      </c>
      <c r="P25" s="22" t="s">
        <v>642</v>
      </c>
      <c r="Q25" s="9" t="s">
        <v>441</v>
      </c>
      <c r="R25" s="9" t="s">
        <v>153</v>
      </c>
      <c r="S25" s="14">
        <f t="shared" si="2"/>
        <v>16</v>
      </c>
      <c r="T25" s="10">
        <v>852</v>
      </c>
      <c r="U25" s="14">
        <v>2</v>
      </c>
    </row>
    <row r="26" spans="1:21" x14ac:dyDescent="0.2">
      <c r="A26" s="7" t="s">
        <v>105</v>
      </c>
      <c r="B26" s="10">
        <v>2011</v>
      </c>
      <c r="C26" s="9" t="s">
        <v>21</v>
      </c>
      <c r="D26" s="9" t="s">
        <v>4</v>
      </c>
      <c r="E26" s="9" t="s">
        <v>634</v>
      </c>
      <c r="F26" s="10">
        <v>365</v>
      </c>
      <c r="G26" s="9" t="s">
        <v>106</v>
      </c>
      <c r="H26" s="14">
        <f t="shared" si="0"/>
        <v>2016</v>
      </c>
      <c r="I26" s="14">
        <f t="shared" si="1"/>
        <v>11</v>
      </c>
      <c r="J26" s="11" t="s">
        <v>153</v>
      </c>
      <c r="K26" s="11" t="s">
        <v>153</v>
      </c>
      <c r="L26" s="11" t="s">
        <v>348</v>
      </c>
      <c r="M26" s="8">
        <v>3</v>
      </c>
      <c r="N26" s="34">
        <v>45.8</v>
      </c>
      <c r="O26" s="15" t="s">
        <v>632</v>
      </c>
      <c r="P26" s="22" t="s">
        <v>642</v>
      </c>
      <c r="Q26" s="9" t="s">
        <v>441</v>
      </c>
      <c r="R26" s="9" t="s">
        <v>153</v>
      </c>
      <c r="S26" s="14">
        <f t="shared" si="2"/>
        <v>16</v>
      </c>
      <c r="T26" s="10">
        <v>1545</v>
      </c>
      <c r="U26" s="14">
        <v>6</v>
      </c>
    </row>
    <row r="27" spans="1:21" x14ac:dyDescent="0.2">
      <c r="A27" s="7" t="s">
        <v>107</v>
      </c>
      <c r="B27" s="10">
        <v>2007</v>
      </c>
      <c r="C27" s="9" t="s">
        <v>21</v>
      </c>
      <c r="D27" s="9" t="s">
        <v>4</v>
      </c>
      <c r="E27" s="9" t="s">
        <v>634</v>
      </c>
      <c r="F27" s="10">
        <v>336</v>
      </c>
      <c r="G27" s="9" t="s">
        <v>108</v>
      </c>
      <c r="H27" s="14">
        <f t="shared" si="0"/>
        <v>2016</v>
      </c>
      <c r="I27" s="14">
        <f t="shared" si="1"/>
        <v>11</v>
      </c>
      <c r="J27" s="11" t="s">
        <v>153</v>
      </c>
      <c r="K27" s="11" t="s">
        <v>152</v>
      </c>
      <c r="L27" s="11" t="s">
        <v>349</v>
      </c>
      <c r="M27" s="8">
        <v>3</v>
      </c>
      <c r="N27" s="34">
        <v>57.47</v>
      </c>
      <c r="O27" s="15" t="s">
        <v>632</v>
      </c>
      <c r="P27" s="22" t="s">
        <v>665</v>
      </c>
      <c r="Q27" s="9" t="s">
        <v>441</v>
      </c>
      <c r="R27" s="9" t="s">
        <v>153</v>
      </c>
      <c r="S27" s="14">
        <f t="shared" si="2"/>
        <v>110</v>
      </c>
      <c r="T27" s="10">
        <v>2271</v>
      </c>
      <c r="U27" s="14">
        <v>4</v>
      </c>
    </row>
    <row r="28" spans="1:21" x14ac:dyDescent="0.2">
      <c r="A28" s="7" t="s">
        <v>109</v>
      </c>
      <c r="B28" s="10">
        <v>2014</v>
      </c>
      <c r="C28" s="9" t="s">
        <v>21</v>
      </c>
      <c r="D28" s="9" t="s">
        <v>4</v>
      </c>
      <c r="E28" s="9" t="s">
        <v>634</v>
      </c>
      <c r="F28" s="10">
        <v>148</v>
      </c>
      <c r="G28" s="9" t="s">
        <v>110</v>
      </c>
      <c r="H28" s="14">
        <f t="shared" si="0"/>
        <v>2016</v>
      </c>
      <c r="I28" s="14">
        <f t="shared" si="1"/>
        <v>11</v>
      </c>
      <c r="J28" s="11" t="s">
        <v>153</v>
      </c>
      <c r="K28" s="11" t="s">
        <v>152</v>
      </c>
      <c r="L28" s="11" t="s">
        <v>350</v>
      </c>
      <c r="M28" s="8">
        <v>5</v>
      </c>
      <c r="N28" s="34">
        <v>0</v>
      </c>
      <c r="O28" s="15" t="s">
        <v>632</v>
      </c>
      <c r="P28" s="22" t="s">
        <v>666</v>
      </c>
      <c r="Q28" s="9" t="s">
        <v>1199</v>
      </c>
      <c r="R28" s="9" t="s">
        <v>153</v>
      </c>
      <c r="S28" s="14">
        <f t="shared" si="2"/>
        <v>133</v>
      </c>
      <c r="T28" s="10">
        <v>1418</v>
      </c>
      <c r="U28" s="14">
        <v>0</v>
      </c>
    </row>
    <row r="29" spans="1:21" x14ac:dyDescent="0.2">
      <c r="A29" s="7" t="s">
        <v>1186</v>
      </c>
      <c r="B29" s="10">
        <v>2009</v>
      </c>
      <c r="C29" s="9" t="s">
        <v>21</v>
      </c>
      <c r="D29" s="9" t="s">
        <v>4</v>
      </c>
      <c r="E29" s="9" t="s">
        <v>634</v>
      </c>
      <c r="F29" s="10">
        <v>435</v>
      </c>
      <c r="G29" s="9" t="s">
        <v>115</v>
      </c>
      <c r="H29" s="14">
        <f t="shared" si="0"/>
        <v>2016</v>
      </c>
      <c r="I29" s="14">
        <f t="shared" si="1"/>
        <v>11</v>
      </c>
      <c r="J29" s="11" t="s">
        <v>153</v>
      </c>
      <c r="K29" s="11" t="s">
        <v>153</v>
      </c>
      <c r="L29" s="11" t="s">
        <v>351</v>
      </c>
      <c r="M29" s="8">
        <v>1</v>
      </c>
      <c r="N29" s="34">
        <v>128.94</v>
      </c>
      <c r="O29" s="15" t="s">
        <v>632</v>
      </c>
      <c r="P29" s="22" t="s">
        <v>667</v>
      </c>
      <c r="Q29" s="9" t="s">
        <v>1199</v>
      </c>
      <c r="R29" s="9" t="s">
        <v>153</v>
      </c>
      <c r="S29" s="14">
        <f t="shared" si="2"/>
        <v>55</v>
      </c>
      <c r="T29" s="10">
        <v>113</v>
      </c>
      <c r="U29" s="14">
        <v>0</v>
      </c>
    </row>
    <row r="30" spans="1:21" x14ac:dyDescent="0.2">
      <c r="A30" s="7" t="s">
        <v>116</v>
      </c>
      <c r="B30" s="10">
        <v>2002</v>
      </c>
      <c r="C30" s="9" t="s">
        <v>21</v>
      </c>
      <c r="D30" s="9" t="s">
        <v>4</v>
      </c>
      <c r="E30" s="9" t="s">
        <v>634</v>
      </c>
      <c r="F30" s="10">
        <v>547</v>
      </c>
      <c r="G30" s="9" t="s">
        <v>115</v>
      </c>
      <c r="H30" s="14">
        <f t="shared" si="0"/>
        <v>2016</v>
      </c>
      <c r="I30" s="14">
        <f t="shared" si="1"/>
        <v>11</v>
      </c>
      <c r="J30" s="11" t="s">
        <v>153</v>
      </c>
      <c r="K30" s="11" t="s">
        <v>153</v>
      </c>
      <c r="L30" s="11" t="s">
        <v>352</v>
      </c>
      <c r="M30" s="8">
        <v>1</v>
      </c>
      <c r="N30" s="34">
        <v>44.5</v>
      </c>
      <c r="O30" s="15" t="s">
        <v>632</v>
      </c>
      <c r="P30" s="22" t="s">
        <v>636</v>
      </c>
      <c r="Q30" s="9" t="s">
        <v>1199</v>
      </c>
      <c r="R30" s="9" t="s">
        <v>153</v>
      </c>
      <c r="S30" s="14">
        <f t="shared" si="2"/>
        <v>49</v>
      </c>
      <c r="T30" s="10">
        <v>0</v>
      </c>
      <c r="U30" s="14">
        <v>0</v>
      </c>
    </row>
    <row r="31" spans="1:21" x14ac:dyDescent="0.2">
      <c r="A31" s="7" t="s">
        <v>118</v>
      </c>
      <c r="B31" s="10">
        <v>2004</v>
      </c>
      <c r="C31" s="9" t="s">
        <v>21</v>
      </c>
      <c r="D31" s="9" t="s">
        <v>4</v>
      </c>
      <c r="E31" s="9" t="s">
        <v>634</v>
      </c>
      <c r="F31" s="10">
        <v>458</v>
      </c>
      <c r="G31" s="9" t="s">
        <v>119</v>
      </c>
      <c r="H31" s="14">
        <f t="shared" si="0"/>
        <v>2016</v>
      </c>
      <c r="I31" s="14">
        <f t="shared" si="1"/>
        <v>11</v>
      </c>
      <c r="J31" s="11" t="s">
        <v>152</v>
      </c>
      <c r="K31" s="11" t="s">
        <v>153</v>
      </c>
      <c r="L31" s="11" t="s">
        <v>343</v>
      </c>
      <c r="M31" s="8">
        <v>4</v>
      </c>
      <c r="N31" s="34">
        <v>46.94</v>
      </c>
      <c r="O31" s="15" t="s">
        <v>632</v>
      </c>
      <c r="P31" s="22" t="s">
        <v>638</v>
      </c>
      <c r="Q31" s="9" t="s">
        <v>442</v>
      </c>
      <c r="R31" s="9" t="s">
        <v>153</v>
      </c>
      <c r="S31" s="14">
        <f t="shared" si="2"/>
        <v>45</v>
      </c>
      <c r="T31" s="10">
        <v>999</v>
      </c>
      <c r="U31" s="14">
        <v>3</v>
      </c>
    </row>
    <row r="32" spans="1:21" x14ac:dyDescent="0.2">
      <c r="A32" s="7" t="s">
        <v>120</v>
      </c>
      <c r="B32" s="10">
        <v>1997</v>
      </c>
      <c r="C32" s="9" t="s">
        <v>21</v>
      </c>
      <c r="D32" s="9" t="s">
        <v>4</v>
      </c>
      <c r="E32" s="9" t="s">
        <v>634</v>
      </c>
      <c r="F32" s="10">
        <v>431</v>
      </c>
      <c r="G32" s="9" t="s">
        <v>121</v>
      </c>
      <c r="H32" s="14">
        <f t="shared" ref="H32:H81" si="3">YEAR(G32)</f>
        <v>2016</v>
      </c>
      <c r="I32" s="14">
        <f t="shared" ref="I32:I81" si="4">MONTH(G32)</f>
        <v>11</v>
      </c>
      <c r="J32" s="11" t="s">
        <v>153</v>
      </c>
      <c r="K32" s="11" t="s">
        <v>153</v>
      </c>
      <c r="L32" s="11" t="s">
        <v>346</v>
      </c>
      <c r="M32" s="8">
        <v>1</v>
      </c>
      <c r="N32" s="34">
        <v>42.93</v>
      </c>
      <c r="O32" s="15" t="s">
        <v>632</v>
      </c>
      <c r="P32" s="22" t="s">
        <v>637</v>
      </c>
      <c r="Q32" s="9" t="s">
        <v>442</v>
      </c>
      <c r="R32" s="9" t="s">
        <v>153</v>
      </c>
      <c r="S32" s="14">
        <f t="shared" ref="S32:S81" si="5">LEN(P32)</f>
        <v>94</v>
      </c>
      <c r="T32" s="10">
        <v>520</v>
      </c>
      <c r="U32" s="14">
        <v>0</v>
      </c>
    </row>
    <row r="33" spans="1:21" x14ac:dyDescent="0.2">
      <c r="A33" s="7" t="s">
        <v>122</v>
      </c>
      <c r="B33" s="10">
        <v>2013</v>
      </c>
      <c r="C33" s="9" t="s">
        <v>21</v>
      </c>
      <c r="D33" s="9" t="s">
        <v>4</v>
      </c>
      <c r="E33" s="9" t="s">
        <v>634</v>
      </c>
      <c r="F33" s="10">
        <v>650</v>
      </c>
      <c r="G33" s="9" t="s">
        <v>123</v>
      </c>
      <c r="H33" s="14">
        <f t="shared" si="3"/>
        <v>2016</v>
      </c>
      <c r="I33" s="14">
        <f t="shared" si="4"/>
        <v>11</v>
      </c>
      <c r="J33" s="11" t="s">
        <v>153</v>
      </c>
      <c r="K33" s="11" t="s">
        <v>153</v>
      </c>
      <c r="L33" s="11" t="s">
        <v>351</v>
      </c>
      <c r="M33" s="8">
        <v>3</v>
      </c>
      <c r="N33" s="34">
        <v>44.02</v>
      </c>
      <c r="O33" s="15" t="s">
        <v>632</v>
      </c>
      <c r="P33" s="22" t="s">
        <v>639</v>
      </c>
      <c r="Q33" s="9" t="s">
        <v>441</v>
      </c>
      <c r="R33" s="9" t="s">
        <v>153</v>
      </c>
      <c r="S33" s="14">
        <f t="shared" si="5"/>
        <v>18</v>
      </c>
      <c r="T33" s="10">
        <v>1547</v>
      </c>
      <c r="U33" s="14">
        <v>0</v>
      </c>
    </row>
    <row r="34" spans="1:21" x14ac:dyDescent="0.2">
      <c r="A34" s="7" t="s">
        <v>124</v>
      </c>
      <c r="B34" s="8">
        <v>2011</v>
      </c>
      <c r="C34" s="9" t="s">
        <v>21</v>
      </c>
      <c r="D34" s="9" t="s">
        <v>4</v>
      </c>
      <c r="E34" s="9" t="s">
        <v>634</v>
      </c>
      <c r="F34" s="10">
        <v>43</v>
      </c>
      <c r="G34" s="9" t="s">
        <v>123</v>
      </c>
      <c r="H34" s="14">
        <f t="shared" si="3"/>
        <v>2016</v>
      </c>
      <c r="I34" s="14">
        <f t="shared" si="4"/>
        <v>11</v>
      </c>
      <c r="J34" s="11" t="s">
        <v>153</v>
      </c>
      <c r="K34" s="11" t="s">
        <v>153</v>
      </c>
      <c r="L34" s="11" t="s">
        <v>570</v>
      </c>
      <c r="M34" s="8">
        <v>1</v>
      </c>
      <c r="N34" s="34">
        <v>16</v>
      </c>
      <c r="O34" s="15" t="s">
        <v>632</v>
      </c>
      <c r="P34" s="22" t="s">
        <v>640</v>
      </c>
      <c r="Q34" s="9" t="s">
        <v>442</v>
      </c>
      <c r="R34" s="9" t="s">
        <v>153</v>
      </c>
      <c r="S34" s="14">
        <f t="shared" si="5"/>
        <v>21</v>
      </c>
      <c r="T34" s="10">
        <v>25</v>
      </c>
      <c r="U34" s="14">
        <v>0</v>
      </c>
    </row>
    <row r="35" spans="1:21" x14ac:dyDescent="0.2">
      <c r="A35" s="7" t="s">
        <v>125</v>
      </c>
      <c r="B35" s="10">
        <v>2011</v>
      </c>
      <c r="C35" s="9" t="s">
        <v>21</v>
      </c>
      <c r="D35" s="9" t="s">
        <v>4</v>
      </c>
      <c r="E35" s="9" t="s">
        <v>634</v>
      </c>
      <c r="F35" s="10">
        <v>51</v>
      </c>
      <c r="G35" s="9" t="s">
        <v>128</v>
      </c>
      <c r="H35" s="14">
        <f t="shared" si="3"/>
        <v>2016</v>
      </c>
      <c r="I35" s="14">
        <f t="shared" si="4"/>
        <v>12</v>
      </c>
      <c r="J35" s="9" t="s">
        <v>153</v>
      </c>
      <c r="K35" s="11" t="s">
        <v>153</v>
      </c>
      <c r="L35" s="9" t="s">
        <v>570</v>
      </c>
      <c r="M35" s="10">
        <v>1</v>
      </c>
      <c r="N35" s="35">
        <v>7.99</v>
      </c>
      <c r="O35" s="15" t="s">
        <v>632</v>
      </c>
      <c r="P35" s="37" t="s">
        <v>641</v>
      </c>
      <c r="Q35" s="9" t="s">
        <v>442</v>
      </c>
      <c r="R35" s="9" t="s">
        <v>153</v>
      </c>
      <c r="S35" s="14">
        <f t="shared" si="5"/>
        <v>9</v>
      </c>
      <c r="T35" s="10">
        <v>68</v>
      </c>
      <c r="U35" s="14">
        <v>0</v>
      </c>
    </row>
    <row r="36" spans="1:21" x14ac:dyDescent="0.2">
      <c r="A36" s="7" t="s">
        <v>127</v>
      </c>
      <c r="B36" s="10">
        <v>2010</v>
      </c>
      <c r="C36" s="9" t="s">
        <v>21</v>
      </c>
      <c r="D36" s="9" t="s">
        <v>4</v>
      </c>
      <c r="E36" s="9" t="s">
        <v>634</v>
      </c>
      <c r="F36" s="10">
        <v>257</v>
      </c>
      <c r="G36" s="9" t="s">
        <v>126</v>
      </c>
      <c r="H36" s="14">
        <f t="shared" si="3"/>
        <v>2016</v>
      </c>
      <c r="I36" s="14">
        <f t="shared" si="4"/>
        <v>12</v>
      </c>
      <c r="J36" s="9" t="s">
        <v>153</v>
      </c>
      <c r="K36" s="11" t="s">
        <v>153</v>
      </c>
      <c r="L36" s="11" t="s">
        <v>343</v>
      </c>
      <c r="M36" s="10">
        <v>2</v>
      </c>
      <c r="N36" s="35">
        <v>26.06</v>
      </c>
      <c r="O36" s="15" t="s">
        <v>632</v>
      </c>
      <c r="P36" s="22" t="s">
        <v>642</v>
      </c>
      <c r="Q36" s="9" t="s">
        <v>442</v>
      </c>
      <c r="R36" s="9" t="s">
        <v>153</v>
      </c>
      <c r="S36" s="14">
        <f t="shared" si="5"/>
        <v>16</v>
      </c>
      <c r="T36" s="10">
        <v>788</v>
      </c>
      <c r="U36" s="14">
        <v>9</v>
      </c>
    </row>
    <row r="37" spans="1:21" x14ac:dyDescent="0.2">
      <c r="A37" s="7" t="s">
        <v>129</v>
      </c>
      <c r="B37" s="10">
        <v>2013</v>
      </c>
      <c r="C37" s="9" t="s">
        <v>21</v>
      </c>
      <c r="D37" s="9" t="s">
        <v>4</v>
      </c>
      <c r="E37" s="9" t="s">
        <v>634</v>
      </c>
      <c r="F37" s="10">
        <v>74</v>
      </c>
      <c r="G37" s="9" t="s">
        <v>126</v>
      </c>
      <c r="H37" s="14">
        <f t="shared" si="3"/>
        <v>2016</v>
      </c>
      <c r="I37" s="14">
        <f t="shared" si="4"/>
        <v>12</v>
      </c>
      <c r="J37" s="9" t="s">
        <v>153</v>
      </c>
      <c r="K37" s="11" t="s">
        <v>153</v>
      </c>
      <c r="L37" s="9" t="s">
        <v>340</v>
      </c>
      <c r="M37" s="10">
        <v>1</v>
      </c>
      <c r="N37" s="35">
        <v>0</v>
      </c>
      <c r="O37" s="15" t="s">
        <v>632</v>
      </c>
      <c r="P37" s="22" t="s">
        <v>643</v>
      </c>
      <c r="Q37" s="9" t="s">
        <v>441</v>
      </c>
      <c r="R37" s="9" t="s">
        <v>153</v>
      </c>
      <c r="S37" s="14">
        <f t="shared" si="5"/>
        <v>38</v>
      </c>
      <c r="T37" s="10">
        <v>0</v>
      </c>
      <c r="U37" s="14">
        <v>0</v>
      </c>
    </row>
    <row r="38" spans="1:21" x14ac:dyDescent="0.2">
      <c r="A38" s="7" t="s">
        <v>1127</v>
      </c>
      <c r="B38" s="10">
        <v>2013</v>
      </c>
      <c r="C38" s="9" t="s">
        <v>21</v>
      </c>
      <c r="D38" s="9" t="s">
        <v>4</v>
      </c>
      <c r="E38" s="9" t="s">
        <v>634</v>
      </c>
      <c r="F38" s="10">
        <v>948</v>
      </c>
      <c r="G38" s="9" t="s">
        <v>130</v>
      </c>
      <c r="H38" s="14">
        <f t="shared" si="3"/>
        <v>2016</v>
      </c>
      <c r="I38" s="14">
        <f t="shared" si="4"/>
        <v>12</v>
      </c>
      <c r="J38" s="9" t="s">
        <v>153</v>
      </c>
      <c r="K38" s="11" t="s">
        <v>153</v>
      </c>
      <c r="L38" s="11" t="s">
        <v>343</v>
      </c>
      <c r="M38" s="10">
        <v>1</v>
      </c>
      <c r="N38" s="35">
        <v>38.340000000000003</v>
      </c>
      <c r="O38" s="15" t="s">
        <v>632</v>
      </c>
      <c r="P38" s="22" t="s">
        <v>644</v>
      </c>
      <c r="Q38" s="9" t="s">
        <v>441</v>
      </c>
      <c r="R38" s="9" t="s">
        <v>153</v>
      </c>
      <c r="S38" s="14">
        <f t="shared" si="5"/>
        <v>121</v>
      </c>
      <c r="T38" s="10">
        <v>495</v>
      </c>
      <c r="U38" s="14">
        <v>2</v>
      </c>
    </row>
    <row r="39" spans="1:21" x14ac:dyDescent="0.2">
      <c r="A39" s="7" t="s">
        <v>131</v>
      </c>
      <c r="B39" s="10">
        <v>1999</v>
      </c>
      <c r="C39" s="9" t="s">
        <v>21</v>
      </c>
      <c r="D39" s="9" t="s">
        <v>4</v>
      </c>
      <c r="E39" s="9" t="s">
        <v>634</v>
      </c>
      <c r="F39" s="10">
        <v>361</v>
      </c>
      <c r="G39" s="9" t="s">
        <v>132</v>
      </c>
      <c r="H39" s="14">
        <f t="shared" si="3"/>
        <v>2016</v>
      </c>
      <c r="I39" s="14">
        <f t="shared" si="4"/>
        <v>12</v>
      </c>
      <c r="J39" s="9" t="s">
        <v>153</v>
      </c>
      <c r="K39" s="11" t="s">
        <v>153</v>
      </c>
      <c r="L39" s="9" t="s">
        <v>346</v>
      </c>
      <c r="M39" s="10">
        <v>2</v>
      </c>
      <c r="N39" s="35">
        <v>38.46</v>
      </c>
      <c r="O39" s="15" t="s">
        <v>632</v>
      </c>
      <c r="P39" s="22" t="s">
        <v>639</v>
      </c>
      <c r="Q39" s="9" t="s">
        <v>442</v>
      </c>
      <c r="R39" s="9" t="s">
        <v>153</v>
      </c>
      <c r="S39" s="14">
        <f t="shared" si="5"/>
        <v>18</v>
      </c>
      <c r="T39" s="10">
        <v>1361</v>
      </c>
      <c r="U39" s="14">
        <v>12</v>
      </c>
    </row>
    <row r="40" spans="1:21" x14ac:dyDescent="0.2">
      <c r="A40" s="7" t="s">
        <v>135</v>
      </c>
      <c r="B40" s="10">
        <v>2016</v>
      </c>
      <c r="C40" s="9" t="s">
        <v>21</v>
      </c>
      <c r="D40" s="9" t="s">
        <v>4</v>
      </c>
      <c r="E40" s="9" t="s">
        <v>634</v>
      </c>
      <c r="F40" s="10">
        <v>229</v>
      </c>
      <c r="G40" s="9" t="s">
        <v>136</v>
      </c>
      <c r="H40" s="14">
        <f t="shared" si="3"/>
        <v>2016</v>
      </c>
      <c r="I40" s="14">
        <f t="shared" si="4"/>
        <v>12</v>
      </c>
      <c r="J40" s="9" t="s">
        <v>153</v>
      </c>
      <c r="K40" s="11" t="s">
        <v>153</v>
      </c>
      <c r="L40" s="11" t="s">
        <v>343</v>
      </c>
      <c r="M40" s="10">
        <v>2</v>
      </c>
      <c r="N40" s="35">
        <v>20.97</v>
      </c>
      <c r="O40" s="15" t="s">
        <v>632</v>
      </c>
      <c r="P40" s="22" t="s">
        <v>645</v>
      </c>
      <c r="Q40" s="9" t="s">
        <v>442</v>
      </c>
      <c r="R40" s="9" t="s">
        <v>153</v>
      </c>
      <c r="S40" s="14">
        <f t="shared" si="5"/>
        <v>78</v>
      </c>
      <c r="T40" s="10">
        <v>2313</v>
      </c>
      <c r="U40" s="14">
        <v>7</v>
      </c>
    </row>
    <row r="41" spans="1:21" x14ac:dyDescent="0.2">
      <c r="A41" s="7" t="s">
        <v>137</v>
      </c>
      <c r="B41" s="10">
        <v>2006</v>
      </c>
      <c r="C41" s="9" t="s">
        <v>21</v>
      </c>
      <c r="D41" s="9" t="s">
        <v>4</v>
      </c>
      <c r="E41" s="9" t="s">
        <v>634</v>
      </c>
      <c r="F41" s="10">
        <v>294</v>
      </c>
      <c r="G41" s="9" t="s">
        <v>136</v>
      </c>
      <c r="H41" s="14">
        <f t="shared" si="3"/>
        <v>2016</v>
      </c>
      <c r="I41" s="14">
        <f t="shared" si="4"/>
        <v>12</v>
      </c>
      <c r="J41" s="9" t="s">
        <v>153</v>
      </c>
      <c r="K41" s="11" t="s">
        <v>153</v>
      </c>
      <c r="L41" s="9" t="s">
        <v>570</v>
      </c>
      <c r="M41" s="10">
        <v>1</v>
      </c>
      <c r="N41" s="35">
        <v>0</v>
      </c>
      <c r="O41" s="15" t="s">
        <v>632</v>
      </c>
      <c r="P41" s="22" t="s">
        <v>646</v>
      </c>
      <c r="Q41" s="9" t="s">
        <v>442</v>
      </c>
      <c r="R41" s="9" t="s">
        <v>153</v>
      </c>
      <c r="S41" s="14">
        <f t="shared" si="5"/>
        <v>41</v>
      </c>
      <c r="T41" s="10">
        <v>635</v>
      </c>
      <c r="U41" s="14">
        <v>1</v>
      </c>
    </row>
    <row r="42" spans="1:21" x14ac:dyDescent="0.2">
      <c r="A42" s="7" t="s">
        <v>1137</v>
      </c>
      <c r="B42" s="10">
        <v>1996</v>
      </c>
      <c r="C42" s="9" t="s">
        <v>21</v>
      </c>
      <c r="D42" s="9" t="s">
        <v>4</v>
      </c>
      <c r="E42" s="9" t="s">
        <v>634</v>
      </c>
      <c r="F42" s="10">
        <v>239</v>
      </c>
      <c r="G42" s="9" t="s">
        <v>136</v>
      </c>
      <c r="H42" s="14">
        <f t="shared" si="3"/>
        <v>2016</v>
      </c>
      <c r="I42" s="14">
        <f t="shared" si="4"/>
        <v>12</v>
      </c>
      <c r="J42" s="9" t="s">
        <v>153</v>
      </c>
      <c r="K42" s="11" t="s">
        <v>153</v>
      </c>
      <c r="L42" s="9" t="s">
        <v>353</v>
      </c>
      <c r="M42" s="10">
        <v>1</v>
      </c>
      <c r="N42" s="35">
        <v>20.53</v>
      </c>
      <c r="O42" s="15" t="s">
        <v>632</v>
      </c>
      <c r="P42" s="22" t="s">
        <v>647</v>
      </c>
      <c r="Q42" s="9" t="s">
        <v>442</v>
      </c>
      <c r="R42" s="9" t="s">
        <v>153</v>
      </c>
      <c r="S42" s="14">
        <f t="shared" si="5"/>
        <v>118</v>
      </c>
      <c r="T42" s="10">
        <v>139</v>
      </c>
      <c r="U42" s="14">
        <v>2</v>
      </c>
    </row>
    <row r="43" spans="1:21" x14ac:dyDescent="0.2">
      <c r="A43" s="7" t="s">
        <v>1138</v>
      </c>
      <c r="B43" s="10">
        <v>2008</v>
      </c>
      <c r="C43" s="9" t="s">
        <v>21</v>
      </c>
      <c r="D43" s="9" t="s">
        <v>4</v>
      </c>
      <c r="E43" s="9" t="s">
        <v>634</v>
      </c>
      <c r="F43" s="10">
        <v>360</v>
      </c>
      <c r="G43" s="9" t="s">
        <v>138</v>
      </c>
      <c r="H43" s="14">
        <f t="shared" si="3"/>
        <v>2016</v>
      </c>
      <c r="I43" s="14">
        <f t="shared" si="4"/>
        <v>12</v>
      </c>
      <c r="J43" s="9" t="s">
        <v>153</v>
      </c>
      <c r="K43" s="11" t="s">
        <v>153</v>
      </c>
      <c r="L43" s="9" t="s">
        <v>354</v>
      </c>
      <c r="M43" s="10">
        <v>3</v>
      </c>
      <c r="N43" s="35">
        <v>53.03</v>
      </c>
      <c r="O43" s="15" t="s">
        <v>632</v>
      </c>
      <c r="P43" s="22" t="s">
        <v>648</v>
      </c>
      <c r="Q43" s="9" t="s">
        <v>442</v>
      </c>
      <c r="R43" s="9" t="s">
        <v>153</v>
      </c>
      <c r="S43" s="14">
        <f t="shared" si="5"/>
        <v>116</v>
      </c>
      <c r="T43" s="10">
        <v>404</v>
      </c>
      <c r="U43" s="14">
        <v>4</v>
      </c>
    </row>
    <row r="44" spans="1:21" x14ac:dyDescent="0.2">
      <c r="A44" s="7" t="s">
        <v>139</v>
      </c>
      <c r="B44" s="8">
        <v>1999</v>
      </c>
      <c r="C44" s="9" t="s">
        <v>21</v>
      </c>
      <c r="D44" s="9" t="s">
        <v>4</v>
      </c>
      <c r="E44" s="9" t="s">
        <v>634</v>
      </c>
      <c r="F44" s="10">
        <v>137</v>
      </c>
      <c r="G44" s="9" t="s">
        <v>138</v>
      </c>
      <c r="H44" s="14">
        <f t="shared" si="3"/>
        <v>2016</v>
      </c>
      <c r="I44" s="14">
        <f t="shared" si="4"/>
        <v>12</v>
      </c>
      <c r="J44" s="9" t="s">
        <v>153</v>
      </c>
      <c r="K44" s="11" t="s">
        <v>153</v>
      </c>
      <c r="L44" s="9" t="s">
        <v>346</v>
      </c>
      <c r="M44" s="10">
        <v>2</v>
      </c>
      <c r="N44" s="35">
        <v>36.909999999999997</v>
      </c>
      <c r="O44" s="15" t="s">
        <v>632</v>
      </c>
      <c r="P44" s="22" t="s">
        <v>642</v>
      </c>
      <c r="Q44" s="9" t="s">
        <v>442</v>
      </c>
      <c r="R44" s="9" t="s">
        <v>153</v>
      </c>
      <c r="S44" s="14">
        <f t="shared" si="5"/>
        <v>16</v>
      </c>
      <c r="T44" s="10">
        <v>538</v>
      </c>
      <c r="U44" s="14">
        <v>3</v>
      </c>
    </row>
    <row r="45" spans="1:21" x14ac:dyDescent="0.2">
      <c r="A45" s="7" t="s">
        <v>140</v>
      </c>
      <c r="B45" s="10">
        <v>2012</v>
      </c>
      <c r="C45" s="9" t="s">
        <v>21</v>
      </c>
      <c r="D45" s="9" t="s">
        <v>4</v>
      </c>
      <c r="E45" s="9" t="s">
        <v>634</v>
      </c>
      <c r="F45" s="10">
        <v>69</v>
      </c>
      <c r="G45" s="9" t="s">
        <v>138</v>
      </c>
      <c r="H45" s="14">
        <f t="shared" si="3"/>
        <v>2016</v>
      </c>
      <c r="I45" s="14">
        <f t="shared" si="4"/>
        <v>12</v>
      </c>
      <c r="J45" s="9" t="s">
        <v>153</v>
      </c>
      <c r="K45" s="11" t="s">
        <v>153</v>
      </c>
      <c r="L45" s="9" t="s">
        <v>865</v>
      </c>
      <c r="M45" s="10">
        <v>4</v>
      </c>
      <c r="N45" s="35">
        <v>12.99</v>
      </c>
      <c r="O45" s="15" t="s">
        <v>632</v>
      </c>
      <c r="P45" s="22" t="s">
        <v>649</v>
      </c>
      <c r="Q45" s="9" t="s">
        <v>442</v>
      </c>
      <c r="R45" s="9" t="s">
        <v>153</v>
      </c>
      <c r="S45" s="14">
        <f t="shared" si="5"/>
        <v>49</v>
      </c>
      <c r="T45" s="10">
        <v>555</v>
      </c>
      <c r="U45" s="14">
        <v>2</v>
      </c>
    </row>
    <row r="46" spans="1:21" x14ac:dyDescent="0.2">
      <c r="A46" s="7" t="s">
        <v>145</v>
      </c>
      <c r="B46" s="10">
        <v>2016</v>
      </c>
      <c r="C46" s="9" t="s">
        <v>21</v>
      </c>
      <c r="D46" s="9" t="s">
        <v>4</v>
      </c>
      <c r="E46" s="9" t="s">
        <v>634</v>
      </c>
      <c r="F46" s="10">
        <v>20</v>
      </c>
      <c r="G46" s="9" t="s">
        <v>146</v>
      </c>
      <c r="H46" s="14">
        <f t="shared" si="3"/>
        <v>2017</v>
      </c>
      <c r="I46" s="14">
        <f t="shared" si="4"/>
        <v>1</v>
      </c>
      <c r="J46" s="9" t="s">
        <v>153</v>
      </c>
      <c r="K46" s="9" t="s">
        <v>153</v>
      </c>
      <c r="L46" s="11" t="s">
        <v>343</v>
      </c>
      <c r="M46" s="14">
        <v>1</v>
      </c>
      <c r="N46" s="35">
        <v>0</v>
      </c>
      <c r="O46" s="15" t="s">
        <v>632</v>
      </c>
      <c r="P46" s="37" t="s">
        <v>60</v>
      </c>
      <c r="Q46" s="9" t="s">
        <v>1195</v>
      </c>
      <c r="R46" s="9" t="s">
        <v>153</v>
      </c>
      <c r="S46" s="14">
        <f t="shared" si="5"/>
        <v>8</v>
      </c>
      <c r="T46" s="10">
        <v>87</v>
      </c>
      <c r="U46" s="14">
        <v>1</v>
      </c>
    </row>
    <row r="47" spans="1:21" x14ac:dyDescent="0.2">
      <c r="A47" s="7" t="s">
        <v>147</v>
      </c>
      <c r="B47" s="10">
        <v>2016</v>
      </c>
      <c r="C47" s="9" t="s">
        <v>21</v>
      </c>
      <c r="D47" s="9" t="s">
        <v>4</v>
      </c>
      <c r="E47" s="9" t="s">
        <v>634</v>
      </c>
      <c r="F47" s="10">
        <v>66</v>
      </c>
      <c r="G47" s="9" t="s">
        <v>146</v>
      </c>
      <c r="H47" s="14">
        <f t="shared" si="3"/>
        <v>2017</v>
      </c>
      <c r="I47" s="14">
        <f t="shared" si="4"/>
        <v>1</v>
      </c>
      <c r="J47" s="9" t="s">
        <v>153</v>
      </c>
      <c r="K47" s="9" t="s">
        <v>153</v>
      </c>
      <c r="L47" s="11" t="s">
        <v>343</v>
      </c>
      <c r="M47" s="14">
        <v>1</v>
      </c>
      <c r="N47" s="35">
        <v>0</v>
      </c>
      <c r="O47" s="15" t="s">
        <v>632</v>
      </c>
      <c r="P47" s="37" t="s">
        <v>60</v>
      </c>
      <c r="Q47" s="9" t="s">
        <v>1195</v>
      </c>
      <c r="R47" s="9" t="s">
        <v>153</v>
      </c>
      <c r="S47" s="14">
        <f t="shared" si="5"/>
        <v>8</v>
      </c>
      <c r="T47" s="10">
        <v>207</v>
      </c>
      <c r="U47" s="14">
        <v>0</v>
      </c>
    </row>
    <row r="48" spans="1:21" x14ac:dyDescent="0.2">
      <c r="A48" s="7" t="s">
        <v>148</v>
      </c>
      <c r="B48" s="10">
        <v>2015</v>
      </c>
      <c r="C48" s="9" t="s">
        <v>21</v>
      </c>
      <c r="D48" s="9" t="s">
        <v>4</v>
      </c>
      <c r="E48" s="9" t="s">
        <v>634</v>
      </c>
      <c r="F48" s="10">
        <v>19</v>
      </c>
      <c r="G48" s="9" t="s">
        <v>146</v>
      </c>
      <c r="H48" s="14">
        <f t="shared" si="3"/>
        <v>2017</v>
      </c>
      <c r="I48" s="14">
        <f t="shared" si="4"/>
        <v>1</v>
      </c>
      <c r="J48" s="9" t="s">
        <v>153</v>
      </c>
      <c r="K48" s="9" t="s">
        <v>153</v>
      </c>
      <c r="L48" s="11" t="s">
        <v>343</v>
      </c>
      <c r="M48" s="14">
        <v>1</v>
      </c>
      <c r="N48" s="35">
        <v>0</v>
      </c>
      <c r="O48" s="15" t="s">
        <v>632</v>
      </c>
      <c r="P48" s="22" t="s">
        <v>643</v>
      </c>
      <c r="Q48" s="9" t="s">
        <v>1195</v>
      </c>
      <c r="R48" s="9" t="s">
        <v>153</v>
      </c>
      <c r="S48" s="14">
        <f t="shared" si="5"/>
        <v>38</v>
      </c>
      <c r="T48" s="10">
        <v>0</v>
      </c>
      <c r="U48" s="14">
        <v>0</v>
      </c>
    </row>
    <row r="49" spans="1:21" x14ac:dyDescent="0.2">
      <c r="A49" s="7" t="s">
        <v>149</v>
      </c>
      <c r="B49" s="10">
        <v>2016</v>
      </c>
      <c r="C49" s="9" t="s">
        <v>21</v>
      </c>
      <c r="D49" s="9" t="s">
        <v>4</v>
      </c>
      <c r="E49" s="9" t="s">
        <v>634</v>
      </c>
      <c r="F49" s="10">
        <v>46</v>
      </c>
      <c r="G49" s="9" t="s">
        <v>146</v>
      </c>
      <c r="H49" s="14">
        <f t="shared" si="3"/>
        <v>2017</v>
      </c>
      <c r="I49" s="14">
        <f t="shared" si="4"/>
        <v>1</v>
      </c>
      <c r="J49" s="9" t="s">
        <v>153</v>
      </c>
      <c r="K49" s="9" t="s">
        <v>153</v>
      </c>
      <c r="L49" s="11" t="s">
        <v>343</v>
      </c>
      <c r="M49" s="14">
        <v>1</v>
      </c>
      <c r="N49" s="35">
        <v>0</v>
      </c>
      <c r="O49" s="15" t="s">
        <v>632</v>
      </c>
      <c r="P49" s="37" t="s">
        <v>60</v>
      </c>
      <c r="Q49" s="9" t="s">
        <v>442</v>
      </c>
      <c r="R49" s="9" t="s">
        <v>153</v>
      </c>
      <c r="S49" s="14">
        <f t="shared" si="5"/>
        <v>8</v>
      </c>
      <c r="T49" s="10">
        <v>158</v>
      </c>
      <c r="U49" s="14">
        <v>3</v>
      </c>
    </row>
    <row r="50" spans="1:21" x14ac:dyDescent="0.2">
      <c r="A50" s="7" t="s">
        <v>150</v>
      </c>
      <c r="B50" s="10">
        <v>2011</v>
      </c>
      <c r="C50" s="9" t="s">
        <v>21</v>
      </c>
      <c r="D50" s="9" t="s">
        <v>4</v>
      </c>
      <c r="E50" s="9" t="s">
        <v>634</v>
      </c>
      <c r="F50" s="10">
        <v>342</v>
      </c>
      <c r="G50" s="9" t="s">
        <v>151</v>
      </c>
      <c r="H50" s="14">
        <f t="shared" si="3"/>
        <v>2017</v>
      </c>
      <c r="I50" s="14">
        <f t="shared" si="4"/>
        <v>1</v>
      </c>
      <c r="J50" s="9" t="s">
        <v>152</v>
      </c>
      <c r="K50" s="9" t="s">
        <v>152</v>
      </c>
      <c r="L50" s="9" t="s">
        <v>345</v>
      </c>
      <c r="M50" s="10">
        <v>2</v>
      </c>
      <c r="N50" s="35">
        <v>49.56</v>
      </c>
      <c r="O50" s="15" t="s">
        <v>632</v>
      </c>
      <c r="P50" s="22" t="s">
        <v>668</v>
      </c>
      <c r="Q50" s="9" t="s">
        <v>441</v>
      </c>
      <c r="R50" s="9" t="s">
        <v>153</v>
      </c>
      <c r="S50" s="14">
        <f t="shared" si="5"/>
        <v>174</v>
      </c>
      <c r="T50" s="10">
        <v>855</v>
      </c>
      <c r="U50" s="14">
        <v>5</v>
      </c>
    </row>
    <row r="51" spans="1:21" x14ac:dyDescent="0.2">
      <c r="A51" s="7" t="s">
        <v>1139</v>
      </c>
      <c r="B51" s="10">
        <v>2010</v>
      </c>
      <c r="C51" s="9" t="s">
        <v>21</v>
      </c>
      <c r="D51" s="9" t="s">
        <v>4</v>
      </c>
      <c r="E51" s="9" t="s">
        <v>634</v>
      </c>
      <c r="F51" s="10">
        <v>165</v>
      </c>
      <c r="G51" s="9" t="s">
        <v>151</v>
      </c>
      <c r="H51" s="14">
        <f t="shared" si="3"/>
        <v>2017</v>
      </c>
      <c r="I51" s="14">
        <f t="shared" si="4"/>
        <v>1</v>
      </c>
      <c r="J51" s="9" t="s">
        <v>153</v>
      </c>
      <c r="K51" s="9" t="s">
        <v>153</v>
      </c>
      <c r="L51" s="11" t="s">
        <v>343</v>
      </c>
      <c r="M51" s="10">
        <v>1</v>
      </c>
      <c r="N51" s="35">
        <v>29.99</v>
      </c>
      <c r="O51" s="15" t="s">
        <v>632</v>
      </c>
      <c r="P51" s="22" t="s">
        <v>669</v>
      </c>
      <c r="Q51" s="9" t="s">
        <v>442</v>
      </c>
      <c r="R51" s="9" t="s">
        <v>153</v>
      </c>
      <c r="S51" s="14">
        <f t="shared" si="5"/>
        <v>67</v>
      </c>
      <c r="T51" s="10">
        <v>52</v>
      </c>
      <c r="U51" s="14">
        <v>0</v>
      </c>
    </row>
    <row r="52" spans="1:21" x14ac:dyDescent="0.2">
      <c r="A52" s="7" t="s">
        <v>355</v>
      </c>
      <c r="B52" s="10">
        <v>2009</v>
      </c>
      <c r="C52" s="9" t="s">
        <v>21</v>
      </c>
      <c r="D52" s="9" t="s">
        <v>4</v>
      </c>
      <c r="E52" s="9" t="s">
        <v>634</v>
      </c>
      <c r="F52" s="10">
        <v>307</v>
      </c>
      <c r="G52" s="9" t="s">
        <v>151</v>
      </c>
      <c r="H52" s="14">
        <f t="shared" si="3"/>
        <v>2017</v>
      </c>
      <c r="I52" s="14">
        <f t="shared" si="4"/>
        <v>1</v>
      </c>
      <c r="J52" s="9" t="s">
        <v>153</v>
      </c>
      <c r="K52" s="9" t="s">
        <v>153</v>
      </c>
      <c r="L52" s="9" t="s">
        <v>865</v>
      </c>
      <c r="M52" s="10">
        <v>1</v>
      </c>
      <c r="N52" s="35">
        <v>0</v>
      </c>
      <c r="O52" s="15" t="s">
        <v>632</v>
      </c>
      <c r="P52" s="22" t="s">
        <v>640</v>
      </c>
      <c r="Q52" s="9" t="s">
        <v>442</v>
      </c>
      <c r="R52" s="9" t="s">
        <v>153</v>
      </c>
      <c r="S52" s="14">
        <f t="shared" si="5"/>
        <v>21</v>
      </c>
      <c r="T52" s="10">
        <v>0</v>
      </c>
      <c r="U52" s="14">
        <v>0</v>
      </c>
    </row>
    <row r="53" spans="1:21" x14ac:dyDescent="0.2">
      <c r="A53" s="7" t="s">
        <v>154</v>
      </c>
      <c r="B53" s="10">
        <v>2008</v>
      </c>
      <c r="C53" s="9" t="s">
        <v>21</v>
      </c>
      <c r="D53" s="9" t="s">
        <v>4</v>
      </c>
      <c r="E53" s="9" t="s">
        <v>634</v>
      </c>
      <c r="F53" s="10">
        <v>675</v>
      </c>
      <c r="G53" s="9" t="s">
        <v>155</v>
      </c>
      <c r="H53" s="14">
        <f t="shared" si="3"/>
        <v>2017</v>
      </c>
      <c r="I53" s="14">
        <f t="shared" si="4"/>
        <v>1</v>
      </c>
      <c r="J53" s="9" t="s">
        <v>153</v>
      </c>
      <c r="K53" s="9" t="s">
        <v>153</v>
      </c>
      <c r="L53" s="9" t="s">
        <v>351</v>
      </c>
      <c r="M53" s="10">
        <v>3</v>
      </c>
      <c r="N53" s="35">
        <v>39.99</v>
      </c>
      <c r="O53" s="15" t="s">
        <v>632</v>
      </c>
      <c r="P53" s="22" t="s">
        <v>670</v>
      </c>
      <c r="Q53" s="9" t="s">
        <v>1155</v>
      </c>
      <c r="R53" s="9" t="s">
        <v>153</v>
      </c>
      <c r="S53" s="14">
        <f t="shared" si="5"/>
        <v>68</v>
      </c>
      <c r="T53" s="10">
        <v>352</v>
      </c>
      <c r="U53" s="14">
        <v>0</v>
      </c>
    </row>
    <row r="54" spans="1:21" x14ac:dyDescent="0.2">
      <c r="A54" s="7" t="s">
        <v>1128</v>
      </c>
      <c r="B54" s="10">
        <v>2015</v>
      </c>
      <c r="C54" s="9" t="s">
        <v>21</v>
      </c>
      <c r="D54" s="9" t="s">
        <v>4</v>
      </c>
      <c r="E54" s="9" t="s">
        <v>634</v>
      </c>
      <c r="F54" s="10">
        <v>559</v>
      </c>
      <c r="G54" s="9" t="s">
        <v>155</v>
      </c>
      <c r="H54" s="14">
        <f t="shared" si="3"/>
        <v>2017</v>
      </c>
      <c r="I54" s="14">
        <f t="shared" si="4"/>
        <v>1</v>
      </c>
      <c r="J54" s="9" t="s">
        <v>153</v>
      </c>
      <c r="K54" s="9" t="s">
        <v>153</v>
      </c>
      <c r="L54" s="9" t="s">
        <v>341</v>
      </c>
      <c r="M54" s="10">
        <v>2</v>
      </c>
      <c r="N54" s="35">
        <v>49.99</v>
      </c>
      <c r="O54" s="15" t="s">
        <v>632</v>
      </c>
      <c r="P54" s="37" t="s">
        <v>60</v>
      </c>
      <c r="Q54" s="9" t="s">
        <v>441</v>
      </c>
      <c r="R54" s="9" t="s">
        <v>153</v>
      </c>
      <c r="S54" s="14">
        <f t="shared" si="5"/>
        <v>8</v>
      </c>
      <c r="T54" s="10">
        <v>18</v>
      </c>
      <c r="U54" s="14">
        <v>0</v>
      </c>
    </row>
    <row r="55" spans="1:21" x14ac:dyDescent="0.2">
      <c r="A55" s="7" t="s">
        <v>1140</v>
      </c>
      <c r="B55" s="10">
        <v>2003</v>
      </c>
      <c r="C55" s="9" t="s">
        <v>21</v>
      </c>
      <c r="D55" s="9" t="s">
        <v>4</v>
      </c>
      <c r="E55" s="9" t="s">
        <v>634</v>
      </c>
      <c r="F55" s="10">
        <v>324</v>
      </c>
      <c r="G55" s="9" t="s">
        <v>156</v>
      </c>
      <c r="H55" s="14">
        <f t="shared" si="3"/>
        <v>2017</v>
      </c>
      <c r="I55" s="14">
        <f t="shared" si="4"/>
        <v>1</v>
      </c>
      <c r="J55" s="9" t="s">
        <v>153</v>
      </c>
      <c r="K55" s="9" t="s">
        <v>153</v>
      </c>
      <c r="L55" s="9" t="s">
        <v>346</v>
      </c>
      <c r="M55" s="10">
        <v>1</v>
      </c>
      <c r="N55" s="35">
        <v>58.84</v>
      </c>
      <c r="O55" s="15" t="s">
        <v>632</v>
      </c>
      <c r="P55" s="22" t="s">
        <v>671</v>
      </c>
      <c r="Q55" s="9" t="s">
        <v>442</v>
      </c>
      <c r="R55" s="9" t="s">
        <v>153</v>
      </c>
      <c r="S55" s="14">
        <f t="shared" si="5"/>
        <v>125</v>
      </c>
      <c r="T55" s="10">
        <v>136</v>
      </c>
      <c r="U55" s="14">
        <v>0</v>
      </c>
    </row>
    <row r="56" spans="1:21" x14ac:dyDescent="0.2">
      <c r="A56" s="7" t="s">
        <v>157</v>
      </c>
      <c r="B56" s="10">
        <v>2012</v>
      </c>
      <c r="C56" s="9" t="s">
        <v>21</v>
      </c>
      <c r="D56" s="9" t="s">
        <v>4</v>
      </c>
      <c r="E56" s="9" t="s">
        <v>634</v>
      </c>
      <c r="F56" s="10">
        <v>1062</v>
      </c>
      <c r="G56" s="9" t="s">
        <v>156</v>
      </c>
      <c r="H56" s="14">
        <f t="shared" si="3"/>
        <v>2017</v>
      </c>
      <c r="I56" s="14">
        <f t="shared" si="4"/>
        <v>1</v>
      </c>
      <c r="J56" s="9" t="s">
        <v>153</v>
      </c>
      <c r="K56" s="9" t="s">
        <v>153</v>
      </c>
      <c r="L56" s="11" t="s">
        <v>343</v>
      </c>
      <c r="M56" s="10">
        <v>1</v>
      </c>
      <c r="N56" s="35">
        <v>65.3</v>
      </c>
      <c r="O56" s="15" t="s">
        <v>632</v>
      </c>
      <c r="P56" s="22" t="s">
        <v>672</v>
      </c>
      <c r="Q56" s="9" t="s">
        <v>441</v>
      </c>
      <c r="R56" s="9" t="s">
        <v>153</v>
      </c>
      <c r="S56" s="14">
        <f t="shared" si="5"/>
        <v>59</v>
      </c>
      <c r="T56" s="10">
        <v>20</v>
      </c>
      <c r="U56" s="14">
        <v>0</v>
      </c>
    </row>
    <row r="57" spans="1:21" x14ac:dyDescent="0.2">
      <c r="A57" s="7" t="s">
        <v>1129</v>
      </c>
      <c r="B57" s="10">
        <v>2011</v>
      </c>
      <c r="C57" s="9" t="s">
        <v>21</v>
      </c>
      <c r="D57" s="9" t="s">
        <v>4</v>
      </c>
      <c r="E57" s="9" t="s">
        <v>634</v>
      </c>
      <c r="F57" s="10">
        <v>869</v>
      </c>
      <c r="G57" s="9" t="s">
        <v>156</v>
      </c>
      <c r="H57" s="14">
        <f t="shared" si="3"/>
        <v>2017</v>
      </c>
      <c r="I57" s="14">
        <f t="shared" si="4"/>
        <v>1</v>
      </c>
      <c r="J57" s="9" t="s">
        <v>153</v>
      </c>
      <c r="K57" s="9" t="s">
        <v>153</v>
      </c>
      <c r="L57" s="9" t="s">
        <v>356</v>
      </c>
      <c r="M57" s="10">
        <v>1</v>
      </c>
      <c r="N57" s="36">
        <v>33.4</v>
      </c>
      <c r="O57" s="15" t="s">
        <v>632</v>
      </c>
      <c r="P57" s="22" t="s">
        <v>673</v>
      </c>
      <c r="Q57" s="9" t="s">
        <v>441</v>
      </c>
      <c r="R57" s="9" t="s">
        <v>153</v>
      </c>
      <c r="S57" s="14">
        <f t="shared" si="5"/>
        <v>63</v>
      </c>
      <c r="T57" s="10">
        <v>34</v>
      </c>
      <c r="U57" s="14">
        <v>0</v>
      </c>
    </row>
    <row r="58" spans="1:21" x14ac:dyDescent="0.2">
      <c r="A58" s="7" t="s">
        <v>158</v>
      </c>
      <c r="B58" s="10">
        <v>2015</v>
      </c>
      <c r="C58" s="9" t="s">
        <v>21</v>
      </c>
      <c r="D58" s="9" t="s">
        <v>4</v>
      </c>
      <c r="E58" s="9" t="s">
        <v>634</v>
      </c>
      <c r="F58" s="10">
        <v>703</v>
      </c>
      <c r="G58" s="9" t="s">
        <v>156</v>
      </c>
      <c r="H58" s="14">
        <f t="shared" si="3"/>
        <v>2017</v>
      </c>
      <c r="I58" s="14">
        <f t="shared" si="4"/>
        <v>1</v>
      </c>
      <c r="J58" s="9" t="s">
        <v>153</v>
      </c>
      <c r="K58" s="9" t="s">
        <v>152</v>
      </c>
      <c r="L58" s="11" t="s">
        <v>343</v>
      </c>
      <c r="M58" s="10">
        <v>2</v>
      </c>
      <c r="N58" s="35">
        <v>54.99</v>
      </c>
      <c r="O58" s="15" t="s">
        <v>632</v>
      </c>
      <c r="P58" s="22" t="s">
        <v>674</v>
      </c>
      <c r="Q58" s="9" t="s">
        <v>441</v>
      </c>
      <c r="R58" s="9" t="s">
        <v>153</v>
      </c>
      <c r="S58" s="14">
        <f t="shared" si="5"/>
        <v>84</v>
      </c>
      <c r="T58" s="10">
        <v>78</v>
      </c>
      <c r="U58" s="14">
        <v>0</v>
      </c>
    </row>
    <row r="59" spans="1:21" x14ac:dyDescent="0.2">
      <c r="A59" s="7" t="s">
        <v>357</v>
      </c>
      <c r="B59" s="10">
        <v>2006</v>
      </c>
      <c r="C59" s="9" t="s">
        <v>21</v>
      </c>
      <c r="D59" s="9" t="s">
        <v>4</v>
      </c>
      <c r="E59" s="9" t="s">
        <v>634</v>
      </c>
      <c r="F59" s="10">
        <v>106</v>
      </c>
      <c r="G59" s="9" t="s">
        <v>164</v>
      </c>
      <c r="H59" s="14">
        <f t="shared" si="3"/>
        <v>2017</v>
      </c>
      <c r="I59" s="14">
        <f t="shared" si="4"/>
        <v>2</v>
      </c>
      <c r="J59" s="9" t="s">
        <v>153</v>
      </c>
      <c r="K59" s="9" t="s">
        <v>152</v>
      </c>
      <c r="L59" s="9" t="s">
        <v>570</v>
      </c>
      <c r="M59" s="10">
        <v>4</v>
      </c>
      <c r="N59" s="35">
        <v>30</v>
      </c>
      <c r="O59" s="15" t="s">
        <v>632</v>
      </c>
      <c r="P59" s="22" t="s">
        <v>675</v>
      </c>
      <c r="Q59" s="9" t="s">
        <v>442</v>
      </c>
      <c r="R59" s="9" t="s">
        <v>153</v>
      </c>
      <c r="S59" s="14">
        <f t="shared" si="5"/>
        <v>26</v>
      </c>
      <c r="T59" s="10">
        <v>0</v>
      </c>
      <c r="U59" s="14">
        <v>0</v>
      </c>
    </row>
    <row r="60" spans="1:21" x14ac:dyDescent="0.2">
      <c r="A60" s="7" t="s">
        <v>165</v>
      </c>
      <c r="B60" s="10">
        <v>2016</v>
      </c>
      <c r="C60" s="9" t="s">
        <v>21</v>
      </c>
      <c r="D60" s="9" t="s">
        <v>4</v>
      </c>
      <c r="E60" s="9" t="s">
        <v>634</v>
      </c>
      <c r="F60" s="10">
        <v>50</v>
      </c>
      <c r="G60" s="9" t="s">
        <v>166</v>
      </c>
      <c r="H60" s="14">
        <f t="shared" si="3"/>
        <v>2017</v>
      </c>
      <c r="I60" s="14">
        <f t="shared" si="4"/>
        <v>3</v>
      </c>
      <c r="J60" s="9" t="s">
        <v>153</v>
      </c>
      <c r="K60" s="9" t="s">
        <v>153</v>
      </c>
      <c r="L60" s="9" t="s">
        <v>341</v>
      </c>
      <c r="M60" s="10">
        <v>2</v>
      </c>
      <c r="N60" s="35">
        <v>0</v>
      </c>
      <c r="O60" s="15" t="s">
        <v>632</v>
      </c>
      <c r="P60" s="37" t="s">
        <v>60</v>
      </c>
      <c r="Q60" s="9" t="s">
        <v>1199</v>
      </c>
      <c r="R60" s="9" t="s">
        <v>153</v>
      </c>
      <c r="S60" s="14">
        <f t="shared" si="5"/>
        <v>8</v>
      </c>
      <c r="T60" s="10">
        <v>302</v>
      </c>
      <c r="U60" s="14">
        <v>0</v>
      </c>
    </row>
    <row r="61" spans="1:21" x14ac:dyDescent="0.2">
      <c r="A61" s="7" t="s">
        <v>173</v>
      </c>
      <c r="B61" s="10">
        <v>2004</v>
      </c>
      <c r="C61" s="9" t="s">
        <v>21</v>
      </c>
      <c r="D61" s="9" t="s">
        <v>4</v>
      </c>
      <c r="E61" s="9" t="s">
        <v>634</v>
      </c>
      <c r="F61" s="10">
        <v>619</v>
      </c>
      <c r="G61" s="9" t="s">
        <v>174</v>
      </c>
      <c r="H61" s="14">
        <f t="shared" si="3"/>
        <v>2017</v>
      </c>
      <c r="I61" s="14">
        <f t="shared" si="4"/>
        <v>3</v>
      </c>
      <c r="J61" s="9" t="s">
        <v>152</v>
      </c>
      <c r="K61" s="9" t="s">
        <v>152</v>
      </c>
      <c r="L61" s="11" t="s">
        <v>343</v>
      </c>
      <c r="M61" s="10">
        <v>5</v>
      </c>
      <c r="N61" s="35">
        <v>44.98</v>
      </c>
      <c r="O61" s="15" t="s">
        <v>632</v>
      </c>
      <c r="P61" s="22" t="s">
        <v>676</v>
      </c>
      <c r="Q61" s="9" t="s">
        <v>442</v>
      </c>
      <c r="R61" s="9" t="s">
        <v>153</v>
      </c>
      <c r="S61" s="14">
        <f t="shared" si="5"/>
        <v>66</v>
      </c>
      <c r="T61" s="10">
        <v>1780</v>
      </c>
      <c r="U61" s="14">
        <v>5</v>
      </c>
    </row>
    <row r="62" spans="1:21" x14ac:dyDescent="0.2">
      <c r="A62" s="7" t="s">
        <v>175</v>
      </c>
      <c r="B62" s="10">
        <v>2015</v>
      </c>
      <c r="C62" s="9" t="s">
        <v>21</v>
      </c>
      <c r="D62" s="9" t="s">
        <v>4</v>
      </c>
      <c r="E62" s="9" t="s">
        <v>634</v>
      </c>
      <c r="F62" s="10">
        <v>280</v>
      </c>
      <c r="G62" s="9" t="s">
        <v>176</v>
      </c>
      <c r="H62" s="14">
        <f t="shared" si="3"/>
        <v>2017</v>
      </c>
      <c r="I62" s="14">
        <f t="shared" si="4"/>
        <v>3</v>
      </c>
      <c r="J62" s="9" t="s">
        <v>153</v>
      </c>
      <c r="K62" s="9" t="s">
        <v>153</v>
      </c>
      <c r="L62" s="9" t="s">
        <v>341</v>
      </c>
      <c r="M62" s="10">
        <v>2</v>
      </c>
      <c r="N62" s="35">
        <v>49.99</v>
      </c>
      <c r="O62" s="15" t="s">
        <v>632</v>
      </c>
      <c r="P62" s="37" t="s">
        <v>60</v>
      </c>
      <c r="Q62" s="9" t="s">
        <v>442</v>
      </c>
      <c r="R62" s="9" t="s">
        <v>153</v>
      </c>
      <c r="S62" s="14">
        <f t="shared" si="5"/>
        <v>8</v>
      </c>
      <c r="T62" s="10">
        <v>124</v>
      </c>
      <c r="U62" s="14">
        <v>0</v>
      </c>
    </row>
    <row r="63" spans="1:21" x14ac:dyDescent="0.2">
      <c r="A63" s="7" t="s">
        <v>177</v>
      </c>
      <c r="B63" s="10">
        <v>1996</v>
      </c>
      <c r="C63" s="9" t="s">
        <v>21</v>
      </c>
      <c r="D63" s="9" t="s">
        <v>4</v>
      </c>
      <c r="E63" s="9" t="s">
        <v>634</v>
      </c>
      <c r="F63" s="10">
        <v>671</v>
      </c>
      <c r="G63" s="9" t="s">
        <v>176</v>
      </c>
      <c r="H63" s="14">
        <f t="shared" si="3"/>
        <v>2017</v>
      </c>
      <c r="I63" s="14">
        <f t="shared" si="4"/>
        <v>3</v>
      </c>
      <c r="J63" s="9" t="s">
        <v>153</v>
      </c>
      <c r="K63" s="9" t="s">
        <v>153</v>
      </c>
      <c r="L63" s="9" t="s">
        <v>340</v>
      </c>
      <c r="M63" s="10">
        <v>2</v>
      </c>
      <c r="N63" s="35">
        <v>35</v>
      </c>
      <c r="O63" s="15" t="s">
        <v>632</v>
      </c>
      <c r="P63" s="37" t="s">
        <v>60</v>
      </c>
      <c r="Q63" s="9" t="s">
        <v>442</v>
      </c>
      <c r="R63" s="9" t="s">
        <v>153</v>
      </c>
      <c r="S63" s="14">
        <f t="shared" si="5"/>
        <v>8</v>
      </c>
      <c r="T63" s="10">
        <v>1048</v>
      </c>
      <c r="U63" s="14">
        <v>7</v>
      </c>
    </row>
    <row r="64" spans="1:21" x14ac:dyDescent="0.2">
      <c r="A64" s="7" t="s">
        <v>178</v>
      </c>
      <c r="B64" s="10">
        <v>2002</v>
      </c>
      <c r="C64" s="9" t="s">
        <v>21</v>
      </c>
      <c r="D64" s="9" t="s">
        <v>4</v>
      </c>
      <c r="E64" s="9" t="s">
        <v>634</v>
      </c>
      <c r="F64" s="10">
        <v>127</v>
      </c>
      <c r="G64" s="9" t="s">
        <v>179</v>
      </c>
      <c r="H64" s="14">
        <f t="shared" si="3"/>
        <v>2017</v>
      </c>
      <c r="I64" s="14">
        <f t="shared" si="4"/>
        <v>3</v>
      </c>
      <c r="J64" s="9" t="s">
        <v>153</v>
      </c>
      <c r="K64" s="9" t="s">
        <v>153</v>
      </c>
      <c r="L64" s="9" t="s">
        <v>346</v>
      </c>
      <c r="M64" s="10">
        <v>1</v>
      </c>
      <c r="N64" s="35">
        <v>52.49</v>
      </c>
      <c r="O64" s="15" t="s">
        <v>632</v>
      </c>
      <c r="P64" s="22" t="s">
        <v>677</v>
      </c>
      <c r="Q64" s="9" t="s">
        <v>442</v>
      </c>
      <c r="R64" s="9" t="s">
        <v>153</v>
      </c>
      <c r="S64" s="14">
        <f t="shared" si="5"/>
        <v>118</v>
      </c>
      <c r="T64" s="10">
        <v>178</v>
      </c>
      <c r="U64" s="14">
        <v>1</v>
      </c>
    </row>
    <row r="65" spans="1:21" x14ac:dyDescent="0.2">
      <c r="A65" s="7" t="s">
        <v>180</v>
      </c>
      <c r="B65" s="10">
        <v>2015</v>
      </c>
      <c r="C65" s="9" t="s">
        <v>21</v>
      </c>
      <c r="D65" s="9" t="s">
        <v>4</v>
      </c>
      <c r="E65" s="9" t="s">
        <v>634</v>
      </c>
      <c r="F65" s="10">
        <v>174</v>
      </c>
      <c r="G65" s="9" t="s">
        <v>179</v>
      </c>
      <c r="H65" s="14">
        <f t="shared" si="3"/>
        <v>2017</v>
      </c>
      <c r="I65" s="14">
        <f t="shared" si="4"/>
        <v>3</v>
      </c>
      <c r="J65" s="9" t="s">
        <v>153</v>
      </c>
      <c r="K65" s="9" t="s">
        <v>153</v>
      </c>
      <c r="L65" s="9" t="s">
        <v>341</v>
      </c>
      <c r="M65" s="10">
        <v>1</v>
      </c>
      <c r="N65" s="35">
        <v>24.99</v>
      </c>
      <c r="O65" s="15" t="s">
        <v>632</v>
      </c>
      <c r="P65" s="22" t="s">
        <v>679</v>
      </c>
      <c r="Q65" s="9" t="s">
        <v>538</v>
      </c>
      <c r="R65" s="9" t="s">
        <v>153</v>
      </c>
      <c r="S65" s="14">
        <f t="shared" si="5"/>
        <v>99</v>
      </c>
      <c r="T65" s="10">
        <v>89</v>
      </c>
      <c r="U65" s="14">
        <v>0</v>
      </c>
    </row>
    <row r="66" spans="1:21" x14ac:dyDescent="0.2">
      <c r="A66" s="7" t="s">
        <v>181</v>
      </c>
      <c r="B66" s="10">
        <v>2014</v>
      </c>
      <c r="C66" s="9" t="s">
        <v>21</v>
      </c>
      <c r="D66" s="9" t="s">
        <v>4</v>
      </c>
      <c r="E66" s="9" t="s">
        <v>634</v>
      </c>
      <c r="F66" s="10">
        <v>164</v>
      </c>
      <c r="G66" s="9" t="s">
        <v>182</v>
      </c>
      <c r="H66" s="14">
        <f t="shared" si="3"/>
        <v>2017</v>
      </c>
      <c r="I66" s="14">
        <f t="shared" si="4"/>
        <v>3</v>
      </c>
      <c r="J66" s="9" t="s">
        <v>153</v>
      </c>
      <c r="K66" s="9" t="s">
        <v>153</v>
      </c>
      <c r="L66" s="9" t="s">
        <v>345</v>
      </c>
      <c r="M66" s="10">
        <v>1</v>
      </c>
      <c r="N66" s="35">
        <v>49.99</v>
      </c>
      <c r="O66" s="15" t="s">
        <v>632</v>
      </c>
      <c r="P66" s="22" t="s">
        <v>678</v>
      </c>
      <c r="Q66" s="9" t="s">
        <v>441</v>
      </c>
      <c r="R66" s="9" t="s">
        <v>153</v>
      </c>
      <c r="S66" s="14">
        <f t="shared" si="5"/>
        <v>134</v>
      </c>
      <c r="T66" s="10">
        <v>128</v>
      </c>
      <c r="U66" s="14">
        <v>1</v>
      </c>
    </row>
    <row r="67" spans="1:21" x14ac:dyDescent="0.2">
      <c r="A67" s="7" t="s">
        <v>1130</v>
      </c>
      <c r="B67" s="10">
        <v>2013</v>
      </c>
      <c r="C67" s="9" t="s">
        <v>21</v>
      </c>
      <c r="D67" s="9" t="s">
        <v>4</v>
      </c>
      <c r="E67" s="9" t="s">
        <v>634</v>
      </c>
      <c r="F67" s="10">
        <v>294</v>
      </c>
      <c r="G67" s="9" t="s">
        <v>183</v>
      </c>
      <c r="H67" s="14">
        <f t="shared" si="3"/>
        <v>2017</v>
      </c>
      <c r="I67" s="14">
        <f t="shared" si="4"/>
        <v>3</v>
      </c>
      <c r="J67" s="9" t="s">
        <v>152</v>
      </c>
      <c r="K67" s="9" t="s">
        <v>153</v>
      </c>
      <c r="L67" s="9" t="s">
        <v>345</v>
      </c>
      <c r="M67" s="10">
        <v>5</v>
      </c>
      <c r="N67" s="35">
        <v>51.47</v>
      </c>
      <c r="O67" s="15" t="s">
        <v>632</v>
      </c>
      <c r="P67" s="22" t="s">
        <v>680</v>
      </c>
      <c r="Q67" s="9" t="s">
        <v>442</v>
      </c>
      <c r="R67" s="9" t="s">
        <v>153</v>
      </c>
      <c r="S67" s="14">
        <f t="shared" si="5"/>
        <v>143</v>
      </c>
      <c r="T67" s="10">
        <v>1340</v>
      </c>
      <c r="U67" s="14">
        <v>8</v>
      </c>
    </row>
    <row r="68" spans="1:21" x14ac:dyDescent="0.2">
      <c r="A68" s="7" t="s">
        <v>184</v>
      </c>
      <c r="B68" s="10">
        <v>2012</v>
      </c>
      <c r="C68" s="9" t="s">
        <v>21</v>
      </c>
      <c r="D68" s="9" t="s">
        <v>4</v>
      </c>
      <c r="E68" s="9" t="s">
        <v>634</v>
      </c>
      <c r="F68" s="10">
        <v>90</v>
      </c>
      <c r="G68" s="9" t="s">
        <v>183</v>
      </c>
      <c r="H68" s="14">
        <f t="shared" si="3"/>
        <v>2017</v>
      </c>
      <c r="I68" s="14">
        <f t="shared" si="4"/>
        <v>3</v>
      </c>
      <c r="J68" s="9" t="s">
        <v>153</v>
      </c>
      <c r="K68" s="9" t="s">
        <v>153</v>
      </c>
      <c r="L68" s="11" t="s">
        <v>343</v>
      </c>
      <c r="M68" s="10">
        <v>3</v>
      </c>
      <c r="N68" s="35">
        <v>24.99</v>
      </c>
      <c r="O68" s="15" t="s">
        <v>632</v>
      </c>
      <c r="P68" s="22" t="s">
        <v>681</v>
      </c>
      <c r="Q68" s="9" t="s">
        <v>442</v>
      </c>
      <c r="R68" s="9" t="s">
        <v>153</v>
      </c>
      <c r="S68" s="14">
        <f t="shared" si="5"/>
        <v>48</v>
      </c>
      <c r="T68" s="10">
        <v>412</v>
      </c>
      <c r="U68" s="14">
        <v>0</v>
      </c>
    </row>
    <row r="69" spans="1:21" x14ac:dyDescent="0.2">
      <c r="A69" s="7" t="s">
        <v>185</v>
      </c>
      <c r="B69" s="10">
        <v>2015</v>
      </c>
      <c r="C69" s="9" t="s">
        <v>21</v>
      </c>
      <c r="D69" s="9" t="s">
        <v>4</v>
      </c>
      <c r="E69" s="9" t="s">
        <v>634</v>
      </c>
      <c r="F69" s="10">
        <v>362</v>
      </c>
      <c r="G69" s="9" t="s">
        <v>183</v>
      </c>
      <c r="H69" s="14">
        <f t="shared" si="3"/>
        <v>2017</v>
      </c>
      <c r="I69" s="14">
        <f t="shared" si="4"/>
        <v>3</v>
      </c>
      <c r="J69" s="9" t="s">
        <v>153</v>
      </c>
      <c r="K69" s="9" t="s">
        <v>153</v>
      </c>
      <c r="L69" s="11" t="s">
        <v>343</v>
      </c>
      <c r="M69" s="10">
        <v>3</v>
      </c>
      <c r="N69" s="35">
        <v>39.99</v>
      </c>
      <c r="O69" s="15" t="s">
        <v>632</v>
      </c>
      <c r="P69" s="22" t="s">
        <v>682</v>
      </c>
      <c r="Q69" s="9" t="s">
        <v>442</v>
      </c>
      <c r="R69" s="9" t="s">
        <v>153</v>
      </c>
      <c r="S69" s="14">
        <f t="shared" si="5"/>
        <v>99</v>
      </c>
      <c r="T69" s="10">
        <v>410</v>
      </c>
      <c r="U69" s="14">
        <v>0</v>
      </c>
    </row>
    <row r="70" spans="1:21" x14ac:dyDescent="0.2">
      <c r="A70" s="7" t="s">
        <v>186</v>
      </c>
      <c r="B70" s="10">
        <v>2016</v>
      </c>
      <c r="C70" s="9" t="s">
        <v>21</v>
      </c>
      <c r="D70" s="9" t="s">
        <v>4</v>
      </c>
      <c r="E70" s="9" t="s">
        <v>634</v>
      </c>
      <c r="F70" s="10">
        <v>216</v>
      </c>
      <c r="G70" s="9" t="s">
        <v>187</v>
      </c>
      <c r="H70" s="14">
        <f t="shared" si="3"/>
        <v>2017</v>
      </c>
      <c r="I70" s="14">
        <f t="shared" si="4"/>
        <v>3</v>
      </c>
      <c r="J70" s="9" t="s">
        <v>153</v>
      </c>
      <c r="K70" s="9" t="s">
        <v>153</v>
      </c>
      <c r="L70" s="11" t="s">
        <v>570</v>
      </c>
      <c r="M70" s="10">
        <v>3</v>
      </c>
      <c r="N70" s="35">
        <v>0</v>
      </c>
      <c r="O70" s="15" t="s">
        <v>632</v>
      </c>
      <c r="P70" s="22" t="s">
        <v>683</v>
      </c>
      <c r="Q70" s="9" t="s">
        <v>441</v>
      </c>
      <c r="R70" s="9" t="s">
        <v>153</v>
      </c>
      <c r="S70" s="14">
        <f t="shared" si="5"/>
        <v>115</v>
      </c>
      <c r="T70" s="10">
        <v>93</v>
      </c>
      <c r="U70" s="14">
        <v>0</v>
      </c>
    </row>
    <row r="71" spans="1:21" x14ac:dyDescent="0.2">
      <c r="A71" s="7" t="s">
        <v>188</v>
      </c>
      <c r="B71" s="10">
        <v>2009</v>
      </c>
      <c r="C71" s="9" t="s">
        <v>21</v>
      </c>
      <c r="D71" s="9" t="s">
        <v>4</v>
      </c>
      <c r="E71" s="9" t="s">
        <v>634</v>
      </c>
      <c r="F71" s="10">
        <v>127</v>
      </c>
      <c r="G71" s="9" t="s">
        <v>187</v>
      </c>
      <c r="H71" s="14">
        <f t="shared" si="3"/>
        <v>2017</v>
      </c>
      <c r="I71" s="14">
        <f t="shared" si="4"/>
        <v>3</v>
      </c>
      <c r="J71" s="9" t="s">
        <v>153</v>
      </c>
      <c r="K71" s="9" t="s">
        <v>152</v>
      </c>
      <c r="L71" s="9" t="s">
        <v>340</v>
      </c>
      <c r="M71" s="10">
        <v>3</v>
      </c>
      <c r="N71" s="35">
        <v>29.36</v>
      </c>
      <c r="O71" s="15" t="s">
        <v>632</v>
      </c>
      <c r="P71" s="22" t="s">
        <v>684</v>
      </c>
      <c r="Q71" s="9" t="s">
        <v>1155</v>
      </c>
      <c r="R71" s="9" t="s">
        <v>153</v>
      </c>
      <c r="S71" s="14">
        <f t="shared" si="5"/>
        <v>123</v>
      </c>
      <c r="T71" s="10">
        <v>123</v>
      </c>
      <c r="U71" s="14">
        <v>0</v>
      </c>
    </row>
    <row r="72" spans="1:21" x14ac:dyDescent="0.2">
      <c r="A72" s="7" t="s">
        <v>189</v>
      </c>
      <c r="B72" s="8">
        <v>2016</v>
      </c>
      <c r="C72" s="9" t="s">
        <v>21</v>
      </c>
      <c r="D72" s="9" t="s">
        <v>4</v>
      </c>
      <c r="E72" s="9" t="s">
        <v>634</v>
      </c>
      <c r="F72" s="10">
        <v>108</v>
      </c>
      <c r="G72" s="9" t="s">
        <v>190</v>
      </c>
      <c r="H72" s="14">
        <f t="shared" si="3"/>
        <v>2017</v>
      </c>
      <c r="I72" s="14">
        <f t="shared" si="4"/>
        <v>3</v>
      </c>
      <c r="J72" s="9" t="s">
        <v>152</v>
      </c>
      <c r="K72" s="9" t="s">
        <v>152</v>
      </c>
      <c r="L72" s="11" t="s">
        <v>570</v>
      </c>
      <c r="M72" s="10">
        <v>4</v>
      </c>
      <c r="N72" s="35">
        <v>0</v>
      </c>
      <c r="O72" s="15" t="s">
        <v>632</v>
      </c>
      <c r="P72" s="22" t="s">
        <v>685</v>
      </c>
      <c r="Q72" s="9" t="s">
        <v>442</v>
      </c>
      <c r="R72" s="9" t="s">
        <v>153</v>
      </c>
      <c r="S72" s="14">
        <f t="shared" si="5"/>
        <v>129</v>
      </c>
      <c r="T72" s="10">
        <v>946</v>
      </c>
      <c r="U72" s="14">
        <v>0</v>
      </c>
    </row>
    <row r="73" spans="1:21" x14ac:dyDescent="0.2">
      <c r="A73" s="7" t="s">
        <v>1156</v>
      </c>
      <c r="B73" s="10">
        <v>2012</v>
      </c>
      <c r="C73" s="9" t="s">
        <v>21</v>
      </c>
      <c r="D73" s="9" t="s">
        <v>4</v>
      </c>
      <c r="E73" s="9" t="s">
        <v>634</v>
      </c>
      <c r="F73" s="10">
        <v>154</v>
      </c>
      <c r="G73" s="9" t="s">
        <v>191</v>
      </c>
      <c r="H73" s="14">
        <f t="shared" si="3"/>
        <v>2017</v>
      </c>
      <c r="I73" s="14">
        <f t="shared" si="4"/>
        <v>3</v>
      </c>
      <c r="J73" s="9" t="s">
        <v>153</v>
      </c>
      <c r="K73" s="9" t="s">
        <v>153</v>
      </c>
      <c r="L73" s="9" t="s">
        <v>341</v>
      </c>
      <c r="M73" s="10">
        <v>3</v>
      </c>
      <c r="N73" s="35">
        <v>19.989999999999998</v>
      </c>
      <c r="O73" s="15" t="s">
        <v>632</v>
      </c>
      <c r="P73" s="22" t="s">
        <v>686</v>
      </c>
      <c r="Q73" s="9" t="s">
        <v>839</v>
      </c>
      <c r="R73" s="9" t="s">
        <v>153</v>
      </c>
      <c r="S73" s="14">
        <f t="shared" si="5"/>
        <v>118</v>
      </c>
      <c r="T73" s="10">
        <v>102</v>
      </c>
      <c r="U73" s="14">
        <v>1</v>
      </c>
    </row>
    <row r="74" spans="1:21" x14ac:dyDescent="0.2">
      <c r="A74" s="7" t="s">
        <v>192</v>
      </c>
      <c r="B74" s="10">
        <v>2015</v>
      </c>
      <c r="C74" s="9" t="s">
        <v>21</v>
      </c>
      <c r="D74" s="9" t="s">
        <v>4</v>
      </c>
      <c r="E74" s="9" t="s">
        <v>634</v>
      </c>
      <c r="F74" s="10">
        <v>240</v>
      </c>
      <c r="G74" s="9" t="s">
        <v>191</v>
      </c>
      <c r="H74" s="14">
        <f t="shared" si="3"/>
        <v>2017</v>
      </c>
      <c r="I74" s="14">
        <f t="shared" si="4"/>
        <v>3</v>
      </c>
      <c r="J74" s="9" t="s">
        <v>153</v>
      </c>
      <c r="K74" s="9" t="s">
        <v>153</v>
      </c>
      <c r="L74" s="9" t="s">
        <v>341</v>
      </c>
      <c r="M74" s="10">
        <v>3</v>
      </c>
      <c r="N74" s="35">
        <v>49.99</v>
      </c>
      <c r="O74" s="15" t="s">
        <v>632</v>
      </c>
      <c r="P74" s="22" t="s">
        <v>657</v>
      </c>
      <c r="Q74" s="9" t="s">
        <v>839</v>
      </c>
      <c r="R74" s="9" t="s">
        <v>153</v>
      </c>
      <c r="S74" s="14">
        <f t="shared" si="5"/>
        <v>22</v>
      </c>
      <c r="T74" s="10">
        <v>142</v>
      </c>
      <c r="U74" s="14">
        <v>1</v>
      </c>
    </row>
    <row r="75" spans="1:21" x14ac:dyDescent="0.2">
      <c r="A75" s="7" t="s">
        <v>195</v>
      </c>
      <c r="B75" s="10">
        <v>2014</v>
      </c>
      <c r="C75" s="9" t="s">
        <v>21</v>
      </c>
      <c r="D75" s="9" t="s">
        <v>4</v>
      </c>
      <c r="E75" s="9" t="s">
        <v>634</v>
      </c>
      <c r="F75" s="10">
        <v>140</v>
      </c>
      <c r="G75" s="9" t="s">
        <v>194</v>
      </c>
      <c r="H75" s="14">
        <f>YEAR(G75)</f>
        <v>2017</v>
      </c>
      <c r="I75" s="14">
        <f>MONTH(G75)</f>
        <v>3</v>
      </c>
      <c r="J75" s="9" t="s">
        <v>153</v>
      </c>
      <c r="K75" s="9" t="s">
        <v>153</v>
      </c>
      <c r="L75" s="9" t="s">
        <v>341</v>
      </c>
      <c r="M75" s="10">
        <v>3</v>
      </c>
      <c r="N75" s="35">
        <v>34.99</v>
      </c>
      <c r="O75" s="15" t="s">
        <v>632</v>
      </c>
      <c r="P75" s="22" t="s">
        <v>687</v>
      </c>
      <c r="Q75" s="9" t="s">
        <v>452</v>
      </c>
      <c r="R75" s="9" t="s">
        <v>153</v>
      </c>
      <c r="S75" s="14">
        <f t="shared" si="5"/>
        <v>57</v>
      </c>
      <c r="T75" s="10">
        <v>276</v>
      </c>
      <c r="U75" s="14">
        <v>0</v>
      </c>
    </row>
    <row r="76" spans="1:21" x14ac:dyDescent="0.2">
      <c r="A76" s="7" t="s">
        <v>1142</v>
      </c>
      <c r="B76" s="10">
        <v>2007</v>
      </c>
      <c r="C76" s="9" t="s">
        <v>21</v>
      </c>
      <c r="D76" s="9" t="s">
        <v>4</v>
      </c>
      <c r="E76" s="9" t="s">
        <v>634</v>
      </c>
      <c r="F76" s="10">
        <v>500</v>
      </c>
      <c r="G76" s="9" t="s">
        <v>216</v>
      </c>
      <c r="H76" s="14">
        <f>YEAR(G76)</f>
        <v>2017</v>
      </c>
      <c r="I76" s="14">
        <f>MONTH(G76)</f>
        <v>4</v>
      </c>
      <c r="J76" s="9" t="s">
        <v>153</v>
      </c>
      <c r="K76" s="9" t="s">
        <v>153</v>
      </c>
      <c r="L76" s="9" t="s">
        <v>346</v>
      </c>
      <c r="M76" s="10">
        <v>1</v>
      </c>
      <c r="N76" s="35">
        <v>56.58</v>
      </c>
      <c r="O76" s="15" t="s">
        <v>632</v>
      </c>
      <c r="P76" s="22" t="s">
        <v>688</v>
      </c>
      <c r="Q76" s="9" t="s">
        <v>442</v>
      </c>
      <c r="R76" s="9" t="s">
        <v>153</v>
      </c>
      <c r="S76" s="14">
        <f t="shared" si="5"/>
        <v>282</v>
      </c>
      <c r="T76" s="10">
        <v>330</v>
      </c>
      <c r="U76" s="14">
        <v>0</v>
      </c>
    </row>
    <row r="77" spans="1:21" x14ac:dyDescent="0.2">
      <c r="A77" s="7" t="s">
        <v>215</v>
      </c>
      <c r="B77" s="10">
        <v>1995</v>
      </c>
      <c r="C77" s="9" t="s">
        <v>21</v>
      </c>
      <c r="D77" s="9" t="s">
        <v>4</v>
      </c>
      <c r="E77" s="9" t="s">
        <v>634</v>
      </c>
      <c r="F77" s="10">
        <v>322</v>
      </c>
      <c r="G77" s="9" t="s">
        <v>217</v>
      </c>
      <c r="H77" s="14">
        <f>YEAR(G77)</f>
        <v>2017</v>
      </c>
      <c r="I77" s="14">
        <f>MONTH(G77)</f>
        <v>4</v>
      </c>
      <c r="J77" s="9" t="s">
        <v>153</v>
      </c>
      <c r="K77" s="9" t="s">
        <v>153</v>
      </c>
      <c r="L77" s="9" t="s">
        <v>346</v>
      </c>
      <c r="M77" s="10">
        <v>1</v>
      </c>
      <c r="N77" s="35">
        <v>33.92</v>
      </c>
      <c r="O77" s="15" t="s">
        <v>632</v>
      </c>
      <c r="P77" s="22" t="s">
        <v>640</v>
      </c>
      <c r="Q77" s="9" t="s">
        <v>442</v>
      </c>
      <c r="R77" s="9" t="s">
        <v>153</v>
      </c>
      <c r="S77" s="14">
        <f t="shared" si="5"/>
        <v>21</v>
      </c>
      <c r="T77" s="10">
        <v>99</v>
      </c>
      <c r="U77" s="14">
        <v>0</v>
      </c>
    </row>
    <row r="78" spans="1:21" x14ac:dyDescent="0.2">
      <c r="A78" s="7" t="s">
        <v>197</v>
      </c>
      <c r="B78" s="10">
        <v>2009</v>
      </c>
      <c r="C78" s="9" t="s">
        <v>21</v>
      </c>
      <c r="D78" s="9" t="s">
        <v>4</v>
      </c>
      <c r="E78" s="9" t="s">
        <v>634</v>
      </c>
      <c r="F78" s="10">
        <v>385</v>
      </c>
      <c r="G78" s="9" t="s">
        <v>196</v>
      </c>
      <c r="H78" s="14">
        <f t="shared" si="3"/>
        <v>2017</v>
      </c>
      <c r="I78" s="14">
        <f t="shared" si="4"/>
        <v>4</v>
      </c>
      <c r="J78" s="9" t="s">
        <v>152</v>
      </c>
      <c r="K78" s="9" t="s">
        <v>153</v>
      </c>
      <c r="L78" s="9" t="s">
        <v>346</v>
      </c>
      <c r="M78" s="10">
        <v>5</v>
      </c>
      <c r="N78" s="35">
        <v>48.89</v>
      </c>
      <c r="O78" s="15" t="s">
        <v>632</v>
      </c>
      <c r="P78" s="22" t="s">
        <v>689</v>
      </c>
      <c r="Q78" s="9" t="s">
        <v>442</v>
      </c>
      <c r="R78" s="9" t="s">
        <v>153</v>
      </c>
      <c r="S78" s="14">
        <f t="shared" si="5"/>
        <v>28</v>
      </c>
      <c r="T78" s="10">
        <v>1014</v>
      </c>
      <c r="U78" s="14">
        <v>2</v>
      </c>
    </row>
    <row r="79" spans="1:21" x14ac:dyDescent="0.2">
      <c r="A79" s="7" t="s">
        <v>198</v>
      </c>
      <c r="B79" s="10">
        <v>2011</v>
      </c>
      <c r="C79" s="9" t="s">
        <v>21</v>
      </c>
      <c r="D79" s="9" t="s">
        <v>4</v>
      </c>
      <c r="E79" s="9" t="s">
        <v>634</v>
      </c>
      <c r="F79" s="10">
        <v>87</v>
      </c>
      <c r="G79" s="9" t="s">
        <v>196</v>
      </c>
      <c r="H79" s="14">
        <f t="shared" si="3"/>
        <v>2017</v>
      </c>
      <c r="I79" s="14">
        <f t="shared" si="4"/>
        <v>4</v>
      </c>
      <c r="J79" s="9" t="s">
        <v>153</v>
      </c>
      <c r="K79" s="9" t="s">
        <v>153</v>
      </c>
      <c r="L79" s="9" t="s">
        <v>346</v>
      </c>
      <c r="M79" s="10">
        <v>2</v>
      </c>
      <c r="N79" s="35">
        <v>55.99</v>
      </c>
      <c r="O79" s="15" t="s">
        <v>632</v>
      </c>
      <c r="P79" s="37" t="s">
        <v>60</v>
      </c>
      <c r="Q79" s="9" t="s">
        <v>442</v>
      </c>
      <c r="R79" s="9" t="s">
        <v>153</v>
      </c>
      <c r="S79" s="14">
        <f t="shared" si="5"/>
        <v>8</v>
      </c>
      <c r="T79" s="10">
        <v>239</v>
      </c>
      <c r="U79" s="14">
        <v>2</v>
      </c>
    </row>
    <row r="80" spans="1:21" x14ac:dyDescent="0.2">
      <c r="A80" s="7" t="s">
        <v>200</v>
      </c>
      <c r="B80" s="10">
        <v>2013</v>
      </c>
      <c r="C80" s="9" t="s">
        <v>21</v>
      </c>
      <c r="D80" s="9" t="s">
        <v>4</v>
      </c>
      <c r="E80" s="9" t="s">
        <v>634</v>
      </c>
      <c r="F80" s="10">
        <v>433</v>
      </c>
      <c r="G80" s="9" t="s">
        <v>201</v>
      </c>
      <c r="H80" s="14">
        <f t="shared" si="3"/>
        <v>2017</v>
      </c>
      <c r="I80" s="14">
        <f t="shared" si="4"/>
        <v>4</v>
      </c>
      <c r="J80" s="9" t="s">
        <v>153</v>
      </c>
      <c r="K80" s="9" t="s">
        <v>153</v>
      </c>
      <c r="L80" s="9" t="s">
        <v>340</v>
      </c>
      <c r="M80" s="10">
        <v>3</v>
      </c>
      <c r="N80" s="35">
        <v>49.99</v>
      </c>
      <c r="O80" s="15" t="s">
        <v>632</v>
      </c>
      <c r="P80" s="22" t="s">
        <v>690</v>
      </c>
      <c r="Q80" s="9" t="s">
        <v>441</v>
      </c>
      <c r="R80" s="9" t="s">
        <v>153</v>
      </c>
      <c r="S80" s="14">
        <f t="shared" si="5"/>
        <v>65</v>
      </c>
      <c r="T80" s="10">
        <v>707</v>
      </c>
      <c r="U80" s="14">
        <v>4</v>
      </c>
    </row>
    <row r="81" spans="1:21" x14ac:dyDescent="0.2">
      <c r="A81" s="7" t="s">
        <v>206</v>
      </c>
      <c r="B81" s="10">
        <v>2002</v>
      </c>
      <c r="C81" s="9" t="s">
        <v>21</v>
      </c>
      <c r="D81" s="9" t="s">
        <v>4</v>
      </c>
      <c r="E81" s="9" t="s">
        <v>634</v>
      </c>
      <c r="F81" s="10">
        <v>385</v>
      </c>
      <c r="G81" s="9" t="s">
        <v>199</v>
      </c>
      <c r="H81" s="14">
        <f t="shared" si="3"/>
        <v>2017</v>
      </c>
      <c r="I81" s="14">
        <f t="shared" si="4"/>
        <v>4</v>
      </c>
      <c r="J81" s="9" t="s">
        <v>152</v>
      </c>
      <c r="K81" s="9" t="s">
        <v>153</v>
      </c>
      <c r="L81" s="9" t="s">
        <v>352</v>
      </c>
      <c r="M81" s="10">
        <v>5</v>
      </c>
      <c r="N81" s="35">
        <v>44.99</v>
      </c>
      <c r="O81" s="15" t="s">
        <v>632</v>
      </c>
      <c r="P81" s="22" t="s">
        <v>691</v>
      </c>
      <c r="Q81" s="9" t="s">
        <v>442</v>
      </c>
      <c r="R81" s="9" t="s">
        <v>153</v>
      </c>
      <c r="S81" s="14">
        <f t="shared" si="5"/>
        <v>67</v>
      </c>
      <c r="T81" s="10">
        <v>1468</v>
      </c>
      <c r="U81" s="14">
        <v>1</v>
      </c>
    </row>
    <row r="82" spans="1:21" x14ac:dyDescent="0.2">
      <c r="A82" s="7" t="s">
        <v>1131</v>
      </c>
      <c r="B82" s="10">
        <v>2014</v>
      </c>
      <c r="C82" s="9" t="s">
        <v>21</v>
      </c>
      <c r="D82" s="9" t="s">
        <v>4</v>
      </c>
      <c r="E82" s="9" t="s">
        <v>634</v>
      </c>
      <c r="F82" s="10">
        <v>159</v>
      </c>
      <c r="G82" s="9" t="s">
        <v>212</v>
      </c>
      <c r="H82" s="14">
        <f t="shared" ref="H82:H132" si="6">YEAR(G82)</f>
        <v>2017</v>
      </c>
      <c r="I82" s="14">
        <f t="shared" ref="I82:I132" si="7">MONTH(G82)</f>
        <v>4</v>
      </c>
      <c r="J82" s="9" t="s">
        <v>153</v>
      </c>
      <c r="K82" s="9" t="s">
        <v>152</v>
      </c>
      <c r="L82" s="9" t="s">
        <v>343</v>
      </c>
      <c r="M82" s="10">
        <v>3</v>
      </c>
      <c r="N82" s="35">
        <v>39.99</v>
      </c>
      <c r="O82" s="15" t="s">
        <v>632</v>
      </c>
      <c r="P82" s="22" t="s">
        <v>692</v>
      </c>
      <c r="Q82" s="9" t="s">
        <v>441</v>
      </c>
      <c r="R82" s="9" t="s">
        <v>153</v>
      </c>
      <c r="S82" s="14">
        <f t="shared" ref="S82:S132" si="8">LEN(P82)</f>
        <v>133</v>
      </c>
      <c r="T82" s="10">
        <v>1004</v>
      </c>
      <c r="U82" s="14">
        <v>1</v>
      </c>
    </row>
    <row r="83" spans="1:21" x14ac:dyDescent="0.2">
      <c r="A83" s="7" t="s">
        <v>1132</v>
      </c>
      <c r="B83" s="10">
        <v>2013</v>
      </c>
      <c r="C83" s="9" t="s">
        <v>21</v>
      </c>
      <c r="D83" s="9" t="s">
        <v>4</v>
      </c>
      <c r="E83" s="9" t="s">
        <v>634</v>
      </c>
      <c r="F83" s="10">
        <v>268</v>
      </c>
      <c r="G83" s="9" t="s">
        <v>212</v>
      </c>
      <c r="H83" s="14">
        <f t="shared" si="6"/>
        <v>2017</v>
      </c>
      <c r="I83" s="14">
        <f t="shared" si="7"/>
        <v>4</v>
      </c>
      <c r="J83" s="9" t="s">
        <v>153</v>
      </c>
      <c r="K83" s="9" t="s">
        <v>152</v>
      </c>
      <c r="L83" s="9" t="s">
        <v>341</v>
      </c>
      <c r="M83" s="10">
        <v>3</v>
      </c>
      <c r="N83" s="35">
        <v>18.28</v>
      </c>
      <c r="O83" s="15" t="s">
        <v>632</v>
      </c>
      <c r="P83" s="22" t="s">
        <v>693</v>
      </c>
      <c r="Q83" s="9" t="s">
        <v>441</v>
      </c>
      <c r="R83" s="9" t="s">
        <v>153</v>
      </c>
      <c r="S83" s="14">
        <f t="shared" si="8"/>
        <v>63</v>
      </c>
      <c r="T83" s="10">
        <v>492</v>
      </c>
      <c r="U83" s="14">
        <v>0</v>
      </c>
    </row>
    <row r="84" spans="1:21" x14ac:dyDescent="0.2">
      <c r="A84" s="7" t="s">
        <v>213</v>
      </c>
      <c r="B84" s="10">
        <v>2015</v>
      </c>
      <c r="C84" s="9" t="s">
        <v>21</v>
      </c>
      <c r="D84" s="9" t="s">
        <v>4</v>
      </c>
      <c r="E84" s="9" t="s">
        <v>634</v>
      </c>
      <c r="F84" s="10">
        <v>482</v>
      </c>
      <c r="G84" s="9" t="s">
        <v>214</v>
      </c>
      <c r="H84" s="14">
        <f t="shared" si="6"/>
        <v>2017</v>
      </c>
      <c r="I84" s="14">
        <f t="shared" si="7"/>
        <v>5</v>
      </c>
      <c r="J84" s="9" t="s">
        <v>153</v>
      </c>
      <c r="K84" s="9" t="s">
        <v>153</v>
      </c>
      <c r="L84" s="9" t="s">
        <v>358</v>
      </c>
      <c r="M84" s="10">
        <v>3</v>
      </c>
      <c r="N84" s="35">
        <v>36</v>
      </c>
      <c r="O84" s="15" t="s">
        <v>632</v>
      </c>
      <c r="P84" s="22" t="s">
        <v>694</v>
      </c>
      <c r="Q84" s="9" t="s">
        <v>442</v>
      </c>
      <c r="R84" s="9" t="s">
        <v>153</v>
      </c>
      <c r="S84" s="14">
        <f t="shared" si="8"/>
        <v>77</v>
      </c>
      <c r="T84" s="10">
        <v>393</v>
      </c>
      <c r="U84" s="14">
        <v>3</v>
      </c>
    </row>
    <row r="85" spans="1:21" x14ac:dyDescent="0.2">
      <c r="A85" s="7" t="s">
        <v>1145</v>
      </c>
      <c r="B85" s="10">
        <v>2015</v>
      </c>
      <c r="C85" s="9" t="s">
        <v>21</v>
      </c>
      <c r="D85" s="9" t="s">
        <v>4</v>
      </c>
      <c r="E85" s="9" t="s">
        <v>634</v>
      </c>
      <c r="F85" s="10">
        <v>100</v>
      </c>
      <c r="G85" s="9" t="s">
        <v>214</v>
      </c>
      <c r="H85" s="14">
        <f t="shared" si="6"/>
        <v>2017</v>
      </c>
      <c r="I85" s="14">
        <f t="shared" si="7"/>
        <v>5</v>
      </c>
      <c r="J85" s="9" t="s">
        <v>153</v>
      </c>
      <c r="K85" s="9" t="s">
        <v>153</v>
      </c>
      <c r="L85" s="9" t="s">
        <v>359</v>
      </c>
      <c r="M85" s="10">
        <v>1</v>
      </c>
      <c r="N85" s="35">
        <v>38</v>
      </c>
      <c r="O85" s="15" t="s">
        <v>632</v>
      </c>
      <c r="P85" s="37" t="s">
        <v>695</v>
      </c>
      <c r="Q85" s="9" t="s">
        <v>442</v>
      </c>
      <c r="R85" s="9" t="s">
        <v>153</v>
      </c>
      <c r="S85" s="14">
        <f t="shared" si="8"/>
        <v>154</v>
      </c>
      <c r="T85" s="10">
        <v>216</v>
      </c>
      <c r="U85" s="14">
        <v>3</v>
      </c>
    </row>
    <row r="86" spans="1:21" x14ac:dyDescent="0.2">
      <c r="A86" s="7" t="s">
        <v>805</v>
      </c>
      <c r="B86" s="8">
        <v>1999</v>
      </c>
      <c r="C86" s="9" t="s">
        <v>21</v>
      </c>
      <c r="D86" s="9" t="s">
        <v>4</v>
      </c>
      <c r="E86" s="9" t="s">
        <v>634</v>
      </c>
      <c r="F86" s="10">
        <v>337</v>
      </c>
      <c r="G86" s="9" t="s">
        <v>218</v>
      </c>
      <c r="H86" s="14">
        <f t="shared" si="6"/>
        <v>2017</v>
      </c>
      <c r="I86" s="14">
        <f t="shared" si="7"/>
        <v>5</v>
      </c>
      <c r="J86" s="9" t="s">
        <v>153</v>
      </c>
      <c r="K86" s="9" t="s">
        <v>153</v>
      </c>
      <c r="L86" s="9" t="s">
        <v>346</v>
      </c>
      <c r="M86" s="10">
        <v>1</v>
      </c>
      <c r="N86" s="35">
        <v>56.85</v>
      </c>
      <c r="O86" s="15" t="s">
        <v>632</v>
      </c>
      <c r="P86" s="22" t="s">
        <v>696</v>
      </c>
      <c r="Q86" s="9" t="s">
        <v>442</v>
      </c>
      <c r="R86" s="9" t="s">
        <v>153</v>
      </c>
      <c r="S86" s="14">
        <f t="shared" si="8"/>
        <v>138</v>
      </c>
      <c r="T86" s="10">
        <v>275</v>
      </c>
      <c r="U86" s="14">
        <v>2</v>
      </c>
    </row>
    <row r="87" spans="1:21" x14ac:dyDescent="0.2">
      <c r="A87" s="7" t="s">
        <v>1143</v>
      </c>
      <c r="B87" s="10">
        <v>2004</v>
      </c>
      <c r="C87" s="9" t="s">
        <v>21</v>
      </c>
      <c r="D87" s="9" t="s">
        <v>4</v>
      </c>
      <c r="E87" s="9" t="s">
        <v>634</v>
      </c>
      <c r="F87" s="10">
        <v>163</v>
      </c>
      <c r="G87" s="9" t="s">
        <v>219</v>
      </c>
      <c r="H87" s="14">
        <f t="shared" si="6"/>
        <v>2017</v>
      </c>
      <c r="I87" s="14">
        <f t="shared" si="7"/>
        <v>5</v>
      </c>
      <c r="J87" s="9" t="s">
        <v>153</v>
      </c>
      <c r="K87" s="9" t="s">
        <v>153</v>
      </c>
      <c r="L87" s="9" t="s">
        <v>362</v>
      </c>
      <c r="M87" s="10">
        <v>2</v>
      </c>
      <c r="N87" s="36">
        <v>9.74</v>
      </c>
      <c r="O87" s="15" t="s">
        <v>632</v>
      </c>
      <c r="P87" s="22" t="s">
        <v>697</v>
      </c>
      <c r="Q87" s="9" t="s">
        <v>442</v>
      </c>
      <c r="R87" s="9" t="s">
        <v>153</v>
      </c>
      <c r="S87" s="14">
        <f t="shared" si="8"/>
        <v>66</v>
      </c>
      <c r="T87" s="10">
        <v>78</v>
      </c>
      <c r="U87" s="14">
        <v>1</v>
      </c>
    </row>
    <row r="88" spans="1:21" x14ac:dyDescent="0.2">
      <c r="A88" s="7" t="s">
        <v>1144</v>
      </c>
      <c r="B88" s="8">
        <v>1997</v>
      </c>
      <c r="C88" s="9" t="s">
        <v>21</v>
      </c>
      <c r="D88" s="9" t="s">
        <v>4</v>
      </c>
      <c r="E88" s="9" t="s">
        <v>634</v>
      </c>
      <c r="F88" s="10">
        <v>250</v>
      </c>
      <c r="G88" s="9" t="s">
        <v>219</v>
      </c>
      <c r="H88" s="14">
        <f t="shared" si="6"/>
        <v>2017</v>
      </c>
      <c r="I88" s="14">
        <f t="shared" si="7"/>
        <v>5</v>
      </c>
      <c r="J88" s="9" t="s">
        <v>153</v>
      </c>
      <c r="K88" s="9" t="s">
        <v>153</v>
      </c>
      <c r="L88" s="9" t="s">
        <v>342</v>
      </c>
      <c r="M88" s="10">
        <v>1</v>
      </c>
      <c r="N88" s="35">
        <v>56.5</v>
      </c>
      <c r="O88" s="15" t="s">
        <v>632</v>
      </c>
      <c r="P88" s="22" t="s">
        <v>698</v>
      </c>
      <c r="Q88" s="9" t="s">
        <v>442</v>
      </c>
      <c r="R88" s="9" t="s">
        <v>153</v>
      </c>
      <c r="S88" s="14">
        <f t="shared" si="8"/>
        <v>85</v>
      </c>
      <c r="T88" s="10">
        <v>84</v>
      </c>
      <c r="U88" s="14">
        <v>0</v>
      </c>
    </row>
    <row r="89" spans="1:21" x14ac:dyDescent="0.2">
      <c r="A89" s="7" t="s">
        <v>220</v>
      </c>
      <c r="B89" s="10">
        <v>2004</v>
      </c>
      <c r="C89" s="9" t="s">
        <v>21</v>
      </c>
      <c r="D89" s="9" t="s">
        <v>4</v>
      </c>
      <c r="E89" s="9" t="s">
        <v>634</v>
      </c>
      <c r="F89" s="10">
        <v>200</v>
      </c>
      <c r="G89" s="9" t="s">
        <v>222</v>
      </c>
      <c r="H89" s="14">
        <f t="shared" si="6"/>
        <v>2017</v>
      </c>
      <c r="I89" s="14">
        <f t="shared" si="7"/>
        <v>5</v>
      </c>
      <c r="J89" s="9" t="s">
        <v>153</v>
      </c>
      <c r="K89" s="9" t="s">
        <v>153</v>
      </c>
      <c r="L89" s="9" t="s">
        <v>356</v>
      </c>
      <c r="M89" s="10">
        <v>2</v>
      </c>
      <c r="N89" s="35">
        <v>16.989999999999998</v>
      </c>
      <c r="O89" s="15" t="s">
        <v>632</v>
      </c>
      <c r="P89" s="22" t="s">
        <v>699</v>
      </c>
      <c r="Q89" s="9" t="s">
        <v>839</v>
      </c>
      <c r="R89" s="9" t="s">
        <v>153</v>
      </c>
      <c r="S89" s="14">
        <f t="shared" si="8"/>
        <v>61</v>
      </c>
      <c r="T89" s="10">
        <v>258</v>
      </c>
      <c r="U89" s="14">
        <v>0</v>
      </c>
    </row>
    <row r="90" spans="1:21" x14ac:dyDescent="0.2">
      <c r="A90" s="7" t="s">
        <v>221</v>
      </c>
      <c r="B90" s="10">
        <v>2009</v>
      </c>
      <c r="C90" s="9" t="s">
        <v>21</v>
      </c>
      <c r="D90" s="9" t="s">
        <v>4</v>
      </c>
      <c r="E90" s="9" t="s">
        <v>634</v>
      </c>
      <c r="F90" s="10">
        <v>200</v>
      </c>
      <c r="G90" s="9" t="s">
        <v>222</v>
      </c>
      <c r="H90" s="14">
        <f t="shared" si="6"/>
        <v>2017</v>
      </c>
      <c r="I90" s="14">
        <f t="shared" si="7"/>
        <v>5</v>
      </c>
      <c r="J90" s="9" t="s">
        <v>153</v>
      </c>
      <c r="K90" s="9" t="s">
        <v>153</v>
      </c>
      <c r="L90" s="9" t="s">
        <v>343</v>
      </c>
      <c r="M90" s="10">
        <v>2</v>
      </c>
      <c r="N90" s="35">
        <v>35.53</v>
      </c>
      <c r="O90" s="15" t="s">
        <v>632</v>
      </c>
      <c r="P90" s="22" t="s">
        <v>700</v>
      </c>
      <c r="Q90" s="9" t="s">
        <v>839</v>
      </c>
      <c r="R90" s="9" t="s">
        <v>153</v>
      </c>
      <c r="S90" s="14">
        <f t="shared" si="8"/>
        <v>81</v>
      </c>
      <c r="T90" s="10">
        <v>0</v>
      </c>
      <c r="U90" s="14">
        <v>0</v>
      </c>
    </row>
    <row r="91" spans="1:21" x14ac:dyDescent="0.2">
      <c r="A91" s="7" t="s">
        <v>223</v>
      </c>
      <c r="B91" s="10">
        <v>2012</v>
      </c>
      <c r="C91" s="9" t="s">
        <v>21</v>
      </c>
      <c r="D91" s="9" t="s">
        <v>4</v>
      </c>
      <c r="E91" s="9" t="s">
        <v>634</v>
      </c>
      <c r="F91" s="10">
        <v>120</v>
      </c>
      <c r="G91" s="9" t="s">
        <v>224</v>
      </c>
      <c r="H91" s="14">
        <f t="shared" si="6"/>
        <v>2017</v>
      </c>
      <c r="I91" s="14">
        <f t="shared" si="7"/>
        <v>5</v>
      </c>
      <c r="J91" s="9" t="s">
        <v>153</v>
      </c>
      <c r="K91" s="9" t="s">
        <v>153</v>
      </c>
      <c r="L91" s="9" t="s">
        <v>363</v>
      </c>
      <c r="M91" s="10">
        <v>1</v>
      </c>
      <c r="N91" s="35">
        <v>29.99</v>
      </c>
      <c r="O91" s="15" t="s">
        <v>632</v>
      </c>
      <c r="P91" s="22" t="s">
        <v>701</v>
      </c>
      <c r="Q91" s="9" t="s">
        <v>1199</v>
      </c>
      <c r="R91" s="9" t="s">
        <v>153</v>
      </c>
      <c r="S91" s="14">
        <f t="shared" si="8"/>
        <v>106</v>
      </c>
      <c r="T91" s="10">
        <v>0</v>
      </c>
      <c r="U91" s="14">
        <v>0</v>
      </c>
    </row>
    <row r="92" spans="1:21" x14ac:dyDescent="0.2">
      <c r="A92" s="7" t="s">
        <v>225</v>
      </c>
      <c r="B92" s="10">
        <v>2015</v>
      </c>
      <c r="C92" s="9" t="s">
        <v>21</v>
      </c>
      <c r="D92" s="9" t="s">
        <v>4</v>
      </c>
      <c r="E92" s="9" t="s">
        <v>634</v>
      </c>
      <c r="F92" s="10">
        <v>209</v>
      </c>
      <c r="G92" s="9" t="s">
        <v>226</v>
      </c>
      <c r="H92" s="14">
        <f t="shared" si="6"/>
        <v>2017</v>
      </c>
      <c r="I92" s="14">
        <f t="shared" si="7"/>
        <v>5</v>
      </c>
      <c r="J92" s="9" t="s">
        <v>153</v>
      </c>
      <c r="K92" s="9" t="s">
        <v>153</v>
      </c>
      <c r="L92" s="9" t="s">
        <v>348</v>
      </c>
      <c r="M92" s="10">
        <v>3</v>
      </c>
      <c r="N92" s="35">
        <v>37.450000000000003</v>
      </c>
      <c r="O92" s="15" t="s">
        <v>632</v>
      </c>
      <c r="P92" s="22" t="s">
        <v>702</v>
      </c>
      <c r="Q92" s="9" t="s">
        <v>441</v>
      </c>
      <c r="R92" s="9" t="s">
        <v>153</v>
      </c>
      <c r="S92" s="14">
        <f t="shared" si="8"/>
        <v>108</v>
      </c>
      <c r="T92" s="10">
        <v>300</v>
      </c>
      <c r="U92" s="14">
        <v>7</v>
      </c>
    </row>
    <row r="93" spans="1:21" x14ac:dyDescent="0.2">
      <c r="A93" s="7" t="s">
        <v>227</v>
      </c>
      <c r="B93" s="10">
        <v>2017</v>
      </c>
      <c r="C93" s="9" t="s">
        <v>21</v>
      </c>
      <c r="D93" s="9" t="s">
        <v>4</v>
      </c>
      <c r="E93" s="9" t="s">
        <v>634</v>
      </c>
      <c r="F93" s="10">
        <v>598</v>
      </c>
      <c r="G93" s="9" t="s">
        <v>228</v>
      </c>
      <c r="H93" s="14">
        <f t="shared" si="6"/>
        <v>2017</v>
      </c>
      <c r="I93" s="14">
        <f t="shared" si="7"/>
        <v>5</v>
      </c>
      <c r="J93" s="9" t="s">
        <v>153</v>
      </c>
      <c r="K93" s="9" t="s">
        <v>153</v>
      </c>
      <c r="L93" s="9" t="s">
        <v>341</v>
      </c>
      <c r="M93" s="10">
        <v>1</v>
      </c>
      <c r="N93" s="35">
        <v>49.99</v>
      </c>
      <c r="O93" s="15" t="s">
        <v>632</v>
      </c>
      <c r="P93" s="22" t="s">
        <v>703</v>
      </c>
      <c r="Q93" s="9" t="s">
        <v>441</v>
      </c>
      <c r="R93" s="9" t="s">
        <v>153</v>
      </c>
      <c r="S93" s="14">
        <f t="shared" si="8"/>
        <v>227</v>
      </c>
      <c r="T93" s="10">
        <v>82</v>
      </c>
      <c r="U93" s="14">
        <v>0</v>
      </c>
    </row>
    <row r="94" spans="1:21" x14ac:dyDescent="0.2">
      <c r="A94" s="7" t="s">
        <v>555</v>
      </c>
      <c r="B94" s="10">
        <v>2017</v>
      </c>
      <c r="C94" s="9" t="s">
        <v>21</v>
      </c>
      <c r="D94" s="9" t="s">
        <v>4</v>
      </c>
      <c r="E94" s="9" t="s">
        <v>634</v>
      </c>
      <c r="F94" s="10">
        <v>284</v>
      </c>
      <c r="G94" s="9" t="s">
        <v>228</v>
      </c>
      <c r="H94" s="14">
        <f t="shared" si="6"/>
        <v>2017</v>
      </c>
      <c r="I94" s="14">
        <f t="shared" si="7"/>
        <v>5</v>
      </c>
      <c r="J94" s="9" t="s">
        <v>153</v>
      </c>
      <c r="K94" s="9" t="s">
        <v>153</v>
      </c>
      <c r="L94" s="9" t="s">
        <v>341</v>
      </c>
      <c r="M94" s="10">
        <v>2</v>
      </c>
      <c r="N94" s="35">
        <v>39.99</v>
      </c>
      <c r="O94" s="15" t="s">
        <v>632</v>
      </c>
      <c r="P94" s="22" t="s">
        <v>1133</v>
      </c>
      <c r="Q94" s="9" t="s">
        <v>441</v>
      </c>
      <c r="R94" s="9" t="s">
        <v>153</v>
      </c>
      <c r="S94" s="14">
        <f t="shared" si="8"/>
        <v>604</v>
      </c>
      <c r="T94" s="10">
        <v>494</v>
      </c>
      <c r="U94" s="14">
        <v>4</v>
      </c>
    </row>
    <row r="95" spans="1:21" x14ac:dyDescent="0.2">
      <c r="A95" s="7" t="s">
        <v>229</v>
      </c>
      <c r="B95" s="10">
        <v>2014</v>
      </c>
      <c r="C95" s="9" t="s">
        <v>21</v>
      </c>
      <c r="D95" s="9" t="s">
        <v>4</v>
      </c>
      <c r="E95" s="9" t="s">
        <v>634</v>
      </c>
      <c r="F95" s="10">
        <v>143</v>
      </c>
      <c r="G95" s="9" t="s">
        <v>230</v>
      </c>
      <c r="H95" s="14">
        <f t="shared" si="6"/>
        <v>2017</v>
      </c>
      <c r="I95" s="14">
        <f t="shared" si="7"/>
        <v>5</v>
      </c>
      <c r="J95" s="9" t="s">
        <v>153</v>
      </c>
      <c r="K95" s="9" t="s">
        <v>152</v>
      </c>
      <c r="L95" s="11" t="s">
        <v>570</v>
      </c>
      <c r="M95" s="10">
        <v>2</v>
      </c>
      <c r="N95" s="35">
        <v>28.99</v>
      </c>
      <c r="O95" s="15" t="s">
        <v>632</v>
      </c>
      <c r="P95" s="22" t="s">
        <v>642</v>
      </c>
      <c r="Q95" s="9" t="s">
        <v>442</v>
      </c>
      <c r="R95" s="9" t="s">
        <v>153</v>
      </c>
      <c r="S95" s="14">
        <f t="shared" si="8"/>
        <v>16</v>
      </c>
      <c r="T95" s="10">
        <v>752</v>
      </c>
      <c r="U95" s="14">
        <v>1</v>
      </c>
    </row>
    <row r="96" spans="1:21" x14ac:dyDescent="0.2">
      <c r="A96" s="7" t="s">
        <v>231</v>
      </c>
      <c r="B96" s="10">
        <v>2016</v>
      </c>
      <c r="C96" s="9" t="s">
        <v>21</v>
      </c>
      <c r="D96" s="9" t="s">
        <v>4</v>
      </c>
      <c r="E96" s="9" t="s">
        <v>634</v>
      </c>
      <c r="F96" s="10">
        <v>400</v>
      </c>
      <c r="G96" s="9" t="s">
        <v>232</v>
      </c>
      <c r="H96" s="14">
        <f t="shared" si="6"/>
        <v>2017</v>
      </c>
      <c r="I96" s="14">
        <f t="shared" si="7"/>
        <v>5</v>
      </c>
      <c r="J96" s="9" t="s">
        <v>153</v>
      </c>
      <c r="K96" s="9" t="s">
        <v>153</v>
      </c>
      <c r="L96" s="9" t="s">
        <v>341</v>
      </c>
      <c r="M96" s="10">
        <v>1</v>
      </c>
      <c r="N96" s="35">
        <v>44.99</v>
      </c>
      <c r="O96" s="15" t="s">
        <v>632</v>
      </c>
      <c r="P96" s="22" t="s">
        <v>705</v>
      </c>
      <c r="Q96" s="9" t="s">
        <v>441</v>
      </c>
      <c r="R96" s="9" t="s">
        <v>153</v>
      </c>
      <c r="S96" s="14">
        <f t="shared" si="8"/>
        <v>73</v>
      </c>
      <c r="T96" s="10">
        <v>120</v>
      </c>
      <c r="U96" s="14">
        <v>2</v>
      </c>
    </row>
    <row r="97" spans="1:21" x14ac:dyDescent="0.2">
      <c r="A97" s="7" t="s">
        <v>233</v>
      </c>
      <c r="B97" s="10">
        <v>2017</v>
      </c>
      <c r="C97" s="9" t="s">
        <v>21</v>
      </c>
      <c r="D97" s="9" t="s">
        <v>4</v>
      </c>
      <c r="E97" s="9" t="s">
        <v>634</v>
      </c>
      <c r="F97" s="10">
        <v>417</v>
      </c>
      <c r="G97" s="9" t="s">
        <v>234</v>
      </c>
      <c r="H97" s="14">
        <f t="shared" si="6"/>
        <v>2017</v>
      </c>
      <c r="I97" s="14">
        <f t="shared" si="7"/>
        <v>6</v>
      </c>
      <c r="J97" s="9" t="s">
        <v>153</v>
      </c>
      <c r="K97" s="9" t="s">
        <v>152</v>
      </c>
      <c r="L97" s="9" t="s">
        <v>352</v>
      </c>
      <c r="M97" s="10">
        <v>3</v>
      </c>
      <c r="N97" s="35">
        <v>25.49</v>
      </c>
      <c r="O97" s="15" t="s">
        <v>632</v>
      </c>
      <c r="P97" s="22" t="s">
        <v>657</v>
      </c>
      <c r="Q97" s="9" t="s">
        <v>442</v>
      </c>
      <c r="R97" s="9" t="s">
        <v>153</v>
      </c>
      <c r="S97" s="14">
        <f t="shared" si="8"/>
        <v>22</v>
      </c>
      <c r="T97" s="10">
        <v>960</v>
      </c>
      <c r="U97" s="14">
        <v>2</v>
      </c>
    </row>
    <row r="98" spans="1:21" x14ac:dyDescent="0.2">
      <c r="A98" s="7" t="s">
        <v>235</v>
      </c>
      <c r="B98" s="10">
        <v>2017</v>
      </c>
      <c r="C98" s="9" t="s">
        <v>21</v>
      </c>
      <c r="D98" s="9" t="s">
        <v>4</v>
      </c>
      <c r="E98" s="9" t="s">
        <v>634</v>
      </c>
      <c r="F98" s="10">
        <v>180</v>
      </c>
      <c r="G98" s="9" t="s">
        <v>236</v>
      </c>
      <c r="H98" s="14">
        <f t="shared" si="6"/>
        <v>2017</v>
      </c>
      <c r="I98" s="14">
        <f t="shared" si="7"/>
        <v>6</v>
      </c>
      <c r="J98" s="9" t="s">
        <v>153</v>
      </c>
      <c r="K98" s="9" t="s">
        <v>153</v>
      </c>
      <c r="L98" s="9" t="s">
        <v>341</v>
      </c>
      <c r="M98" s="10">
        <v>3</v>
      </c>
      <c r="N98" s="35">
        <v>34.99</v>
      </c>
      <c r="O98" s="15" t="s">
        <v>632</v>
      </c>
      <c r="P98" s="22" t="s">
        <v>639</v>
      </c>
      <c r="Q98" s="9" t="s">
        <v>1195</v>
      </c>
      <c r="R98" s="9" t="s">
        <v>153</v>
      </c>
      <c r="S98" s="14">
        <f t="shared" si="8"/>
        <v>18</v>
      </c>
      <c r="T98" s="10">
        <v>1182</v>
      </c>
      <c r="U98" s="14">
        <v>0</v>
      </c>
    </row>
    <row r="99" spans="1:21" x14ac:dyDescent="0.2">
      <c r="A99" s="7" t="s">
        <v>237</v>
      </c>
      <c r="B99" s="10">
        <v>2013</v>
      </c>
      <c r="C99" s="9" t="s">
        <v>21</v>
      </c>
      <c r="D99" s="9" t="s">
        <v>4</v>
      </c>
      <c r="E99" s="9" t="s">
        <v>634</v>
      </c>
      <c r="F99" s="10">
        <v>78</v>
      </c>
      <c r="G99" s="9" t="s">
        <v>236</v>
      </c>
      <c r="H99" s="14">
        <f t="shared" si="6"/>
        <v>2017</v>
      </c>
      <c r="I99" s="14">
        <f t="shared" si="7"/>
        <v>6</v>
      </c>
      <c r="J99" s="9" t="s">
        <v>153</v>
      </c>
      <c r="K99" s="9" t="s">
        <v>153</v>
      </c>
      <c r="L99" s="9" t="s">
        <v>341</v>
      </c>
      <c r="M99" s="10">
        <v>3</v>
      </c>
      <c r="N99" s="35">
        <v>24.68</v>
      </c>
      <c r="O99" s="15" t="s">
        <v>632</v>
      </c>
      <c r="P99" s="22" t="s">
        <v>642</v>
      </c>
      <c r="Q99" s="9" t="s">
        <v>1195</v>
      </c>
      <c r="R99" s="9" t="s">
        <v>153</v>
      </c>
      <c r="S99" s="14">
        <f t="shared" si="8"/>
        <v>16</v>
      </c>
      <c r="T99" s="10">
        <v>127</v>
      </c>
      <c r="U99" s="14">
        <v>0</v>
      </c>
    </row>
    <row r="100" spans="1:21" x14ac:dyDescent="0.2">
      <c r="A100" s="7" t="s">
        <v>238</v>
      </c>
      <c r="B100" s="10">
        <v>2008</v>
      </c>
      <c r="C100" s="9" t="s">
        <v>21</v>
      </c>
      <c r="D100" s="9" t="s">
        <v>4</v>
      </c>
      <c r="E100" s="9" t="s">
        <v>634</v>
      </c>
      <c r="F100" s="10">
        <v>113</v>
      </c>
      <c r="G100" s="9" t="s">
        <v>239</v>
      </c>
      <c r="H100" s="14">
        <f t="shared" si="6"/>
        <v>2017</v>
      </c>
      <c r="I100" s="14">
        <f t="shared" si="7"/>
        <v>6</v>
      </c>
      <c r="J100" s="9" t="s">
        <v>153</v>
      </c>
      <c r="K100" s="9" t="s">
        <v>152</v>
      </c>
      <c r="L100" s="9" t="s">
        <v>364</v>
      </c>
      <c r="M100" s="10">
        <v>2</v>
      </c>
      <c r="N100" s="35">
        <v>42.79</v>
      </c>
      <c r="O100" s="15" t="s">
        <v>632</v>
      </c>
      <c r="P100" s="22" t="s">
        <v>706</v>
      </c>
      <c r="Q100" s="9" t="s">
        <v>442</v>
      </c>
      <c r="R100" s="9" t="s">
        <v>153</v>
      </c>
      <c r="S100" s="14">
        <f t="shared" si="8"/>
        <v>126</v>
      </c>
      <c r="T100" s="10">
        <v>0</v>
      </c>
      <c r="U100" s="14">
        <v>0</v>
      </c>
    </row>
    <row r="101" spans="1:21" x14ac:dyDescent="0.2">
      <c r="A101" s="12" t="s">
        <v>1141</v>
      </c>
      <c r="B101" s="10">
        <v>2016</v>
      </c>
      <c r="C101" s="9" t="s">
        <v>21</v>
      </c>
      <c r="D101" s="9" t="s">
        <v>4</v>
      </c>
      <c r="E101" s="9" t="s">
        <v>634</v>
      </c>
      <c r="F101" s="10">
        <v>258</v>
      </c>
      <c r="G101" s="9" t="s">
        <v>243</v>
      </c>
      <c r="H101" s="14">
        <f t="shared" si="6"/>
        <v>2017</v>
      </c>
      <c r="I101" s="14">
        <f t="shared" si="7"/>
        <v>7</v>
      </c>
      <c r="J101" s="9" t="s">
        <v>152</v>
      </c>
      <c r="K101" s="9" t="s">
        <v>152</v>
      </c>
      <c r="L101" s="9" t="s">
        <v>345</v>
      </c>
      <c r="M101" s="10">
        <v>5</v>
      </c>
      <c r="N101" s="35">
        <v>42.75</v>
      </c>
      <c r="O101" s="15" t="s">
        <v>632</v>
      </c>
      <c r="P101" s="22" t="s">
        <v>689</v>
      </c>
      <c r="Q101" s="9" t="s">
        <v>442</v>
      </c>
      <c r="R101" s="9" t="s">
        <v>153</v>
      </c>
      <c r="S101" s="14">
        <f t="shared" si="8"/>
        <v>28</v>
      </c>
      <c r="T101" s="10">
        <v>1641</v>
      </c>
      <c r="U101" s="14">
        <v>2</v>
      </c>
    </row>
    <row r="102" spans="1:21" x14ac:dyDescent="0.2">
      <c r="A102" s="7" t="s">
        <v>1193</v>
      </c>
      <c r="B102" s="10">
        <v>2015</v>
      </c>
      <c r="C102" s="9" t="s">
        <v>21</v>
      </c>
      <c r="D102" s="9" t="s">
        <v>4</v>
      </c>
      <c r="E102" s="9" t="s">
        <v>634</v>
      </c>
      <c r="F102" s="10">
        <v>349</v>
      </c>
      <c r="G102" s="9" t="s">
        <v>244</v>
      </c>
      <c r="H102" s="14">
        <f t="shared" si="6"/>
        <v>2017</v>
      </c>
      <c r="I102" s="14">
        <f t="shared" si="7"/>
        <v>7</v>
      </c>
      <c r="J102" s="9" t="s">
        <v>152</v>
      </c>
      <c r="K102" s="9" t="s">
        <v>152</v>
      </c>
      <c r="L102" s="9" t="s">
        <v>1194</v>
      </c>
      <c r="M102" s="10">
        <v>4</v>
      </c>
      <c r="N102" s="35">
        <v>18.18</v>
      </c>
      <c r="O102" s="15" t="s">
        <v>632</v>
      </c>
      <c r="P102" s="22" t="s">
        <v>707</v>
      </c>
      <c r="Q102" s="9" t="s">
        <v>1195</v>
      </c>
      <c r="R102" s="9" t="s">
        <v>153</v>
      </c>
      <c r="S102" s="14">
        <f t="shared" si="8"/>
        <v>168</v>
      </c>
      <c r="T102" s="10">
        <v>1376</v>
      </c>
      <c r="U102" s="14">
        <v>0</v>
      </c>
    </row>
    <row r="103" spans="1:21" x14ac:dyDescent="0.2">
      <c r="A103" s="7" t="s">
        <v>245</v>
      </c>
      <c r="B103" s="10">
        <v>2016</v>
      </c>
      <c r="C103" s="9" t="s">
        <v>21</v>
      </c>
      <c r="D103" s="9" t="s">
        <v>4</v>
      </c>
      <c r="E103" s="9" t="s">
        <v>634</v>
      </c>
      <c r="F103" s="10">
        <v>533</v>
      </c>
      <c r="G103" s="9" t="s">
        <v>246</v>
      </c>
      <c r="H103" s="14">
        <f t="shared" si="6"/>
        <v>2017</v>
      </c>
      <c r="I103" s="14">
        <f t="shared" si="7"/>
        <v>7</v>
      </c>
      <c r="J103" s="9" t="s">
        <v>153</v>
      </c>
      <c r="K103" s="9" t="s">
        <v>153</v>
      </c>
      <c r="L103" s="9" t="s">
        <v>348</v>
      </c>
      <c r="M103" s="10">
        <v>2</v>
      </c>
      <c r="N103" s="35">
        <v>50.43</v>
      </c>
      <c r="O103" s="15" t="s">
        <v>632</v>
      </c>
      <c r="P103" s="22" t="s">
        <v>708</v>
      </c>
      <c r="Q103" s="9" t="s">
        <v>1188</v>
      </c>
      <c r="R103" s="9" t="s">
        <v>153</v>
      </c>
      <c r="S103" s="14">
        <f t="shared" si="8"/>
        <v>108</v>
      </c>
      <c r="T103" s="10">
        <v>685</v>
      </c>
      <c r="U103" s="14">
        <v>0</v>
      </c>
    </row>
    <row r="104" spans="1:21" x14ac:dyDescent="0.2">
      <c r="A104" s="7" t="s">
        <v>247</v>
      </c>
      <c r="B104" s="10">
        <v>2016</v>
      </c>
      <c r="C104" s="9" t="s">
        <v>21</v>
      </c>
      <c r="D104" s="9" t="s">
        <v>4</v>
      </c>
      <c r="E104" s="9" t="s">
        <v>634</v>
      </c>
      <c r="F104" s="10">
        <v>453</v>
      </c>
      <c r="G104" s="9" t="s">
        <v>248</v>
      </c>
      <c r="H104" s="14">
        <f t="shared" si="6"/>
        <v>2017</v>
      </c>
      <c r="I104" s="14">
        <f t="shared" si="7"/>
        <v>8</v>
      </c>
      <c r="J104" s="9" t="s">
        <v>152</v>
      </c>
      <c r="K104" s="9" t="s">
        <v>153</v>
      </c>
      <c r="L104" s="9" t="s">
        <v>352</v>
      </c>
      <c r="M104" s="10">
        <v>4</v>
      </c>
      <c r="N104" s="35">
        <v>12.77</v>
      </c>
      <c r="O104" s="15" t="s">
        <v>632</v>
      </c>
      <c r="P104" s="22" t="s">
        <v>709</v>
      </c>
      <c r="Q104" s="9" t="s">
        <v>1199</v>
      </c>
      <c r="R104" s="9" t="s">
        <v>153</v>
      </c>
      <c r="S104" s="14">
        <f t="shared" si="8"/>
        <v>205</v>
      </c>
      <c r="T104" s="10">
        <v>3730</v>
      </c>
      <c r="U104" s="14">
        <v>0</v>
      </c>
    </row>
    <row r="105" spans="1:21" x14ac:dyDescent="0.2">
      <c r="A105" s="7" t="s">
        <v>249</v>
      </c>
      <c r="B105" s="10">
        <v>2015</v>
      </c>
      <c r="C105" s="9" t="s">
        <v>21</v>
      </c>
      <c r="D105" s="9" t="s">
        <v>4</v>
      </c>
      <c r="E105" s="9" t="s">
        <v>634</v>
      </c>
      <c r="F105" s="10">
        <v>290</v>
      </c>
      <c r="G105" s="9" t="s">
        <v>250</v>
      </c>
      <c r="H105" s="14">
        <f t="shared" si="6"/>
        <v>2017</v>
      </c>
      <c r="I105" s="14">
        <f t="shared" si="7"/>
        <v>9</v>
      </c>
      <c r="J105" s="9" t="s">
        <v>152</v>
      </c>
      <c r="K105" s="9" t="s">
        <v>153</v>
      </c>
      <c r="L105" s="9" t="s">
        <v>348</v>
      </c>
      <c r="M105" s="10">
        <v>4</v>
      </c>
      <c r="N105" s="35">
        <v>41.51</v>
      </c>
      <c r="O105" s="15" t="s">
        <v>632</v>
      </c>
      <c r="P105" s="22" t="s">
        <v>710</v>
      </c>
      <c r="Q105" s="9" t="s">
        <v>1199</v>
      </c>
      <c r="R105" s="9" t="s">
        <v>153</v>
      </c>
      <c r="S105" s="14">
        <f t="shared" si="8"/>
        <v>36</v>
      </c>
      <c r="T105" s="10">
        <v>3272</v>
      </c>
      <c r="U105" s="14">
        <v>1</v>
      </c>
    </row>
    <row r="106" spans="1:21" x14ac:dyDescent="0.2">
      <c r="A106" s="7" t="s">
        <v>253</v>
      </c>
      <c r="B106" s="14">
        <v>2008</v>
      </c>
      <c r="C106" s="9" t="s">
        <v>21</v>
      </c>
      <c r="D106" s="9" t="s">
        <v>4</v>
      </c>
      <c r="E106" s="9" t="s">
        <v>634</v>
      </c>
      <c r="F106" s="10">
        <v>228</v>
      </c>
      <c r="G106" s="9" t="s">
        <v>261</v>
      </c>
      <c r="H106" s="14">
        <f t="shared" si="6"/>
        <v>2017</v>
      </c>
      <c r="I106" s="14">
        <f t="shared" si="7"/>
        <v>9</v>
      </c>
      <c r="J106" s="9" t="s">
        <v>152</v>
      </c>
      <c r="K106" s="9" t="s">
        <v>153</v>
      </c>
      <c r="L106" s="9" t="s">
        <v>570</v>
      </c>
      <c r="M106" s="10">
        <v>5</v>
      </c>
      <c r="N106" s="35">
        <v>39</v>
      </c>
      <c r="O106" s="15" t="s">
        <v>632</v>
      </c>
      <c r="P106" s="22" t="s">
        <v>711</v>
      </c>
      <c r="Q106" s="9" t="s">
        <v>1187</v>
      </c>
      <c r="R106" s="9" t="s">
        <v>153</v>
      </c>
      <c r="S106" s="14">
        <f t="shared" si="8"/>
        <v>137</v>
      </c>
      <c r="T106" s="10">
        <v>707</v>
      </c>
      <c r="U106" s="14">
        <v>0</v>
      </c>
    </row>
    <row r="107" spans="1:21" x14ac:dyDescent="0.2">
      <c r="A107" s="7" t="s">
        <v>251</v>
      </c>
      <c r="B107" s="10">
        <v>2012</v>
      </c>
      <c r="C107" s="9" t="s">
        <v>21</v>
      </c>
      <c r="D107" s="9" t="s">
        <v>4</v>
      </c>
      <c r="E107" s="9" t="s">
        <v>634</v>
      </c>
      <c r="F107" s="10">
        <v>322</v>
      </c>
      <c r="G107" s="9" t="s">
        <v>262</v>
      </c>
      <c r="H107" s="14">
        <f t="shared" si="6"/>
        <v>2017</v>
      </c>
      <c r="I107" s="14">
        <f t="shared" si="7"/>
        <v>9</v>
      </c>
      <c r="J107" s="11" t="s">
        <v>153</v>
      </c>
      <c r="K107" s="9" t="s">
        <v>153</v>
      </c>
      <c r="L107" s="11" t="s">
        <v>343</v>
      </c>
      <c r="M107" s="8">
        <v>2</v>
      </c>
      <c r="N107" s="34">
        <v>37.75</v>
      </c>
      <c r="O107" s="15" t="s">
        <v>632</v>
      </c>
      <c r="P107" s="22" t="s">
        <v>712</v>
      </c>
      <c r="Q107" s="9" t="s">
        <v>1199</v>
      </c>
      <c r="R107" s="9" t="s">
        <v>153</v>
      </c>
      <c r="S107" s="14">
        <f t="shared" si="8"/>
        <v>93</v>
      </c>
      <c r="T107" s="10">
        <v>0</v>
      </c>
      <c r="U107" s="14">
        <v>0</v>
      </c>
    </row>
    <row r="108" spans="1:21" x14ac:dyDescent="0.2">
      <c r="A108" s="7" t="s">
        <v>1148</v>
      </c>
      <c r="B108" s="10">
        <v>2017</v>
      </c>
      <c r="C108" s="9" t="s">
        <v>21</v>
      </c>
      <c r="D108" s="9" t="s">
        <v>4</v>
      </c>
      <c r="E108" s="9" t="s">
        <v>634</v>
      </c>
      <c r="F108" s="10">
        <v>253</v>
      </c>
      <c r="G108" s="9" t="s">
        <v>1147</v>
      </c>
      <c r="H108" s="14">
        <f t="shared" si="6"/>
        <v>2017</v>
      </c>
      <c r="I108" s="14">
        <f t="shared" si="7"/>
        <v>10</v>
      </c>
      <c r="J108" s="11" t="s">
        <v>153</v>
      </c>
      <c r="K108" s="9" t="s">
        <v>153</v>
      </c>
      <c r="L108" s="11" t="s">
        <v>341</v>
      </c>
      <c r="M108" s="8">
        <v>2</v>
      </c>
      <c r="N108" s="40">
        <v>32.99</v>
      </c>
      <c r="O108" s="15" t="s">
        <v>632</v>
      </c>
      <c r="P108" s="22" t="s">
        <v>1146</v>
      </c>
      <c r="Q108" s="9" t="s">
        <v>442</v>
      </c>
      <c r="R108" s="9" t="s">
        <v>153</v>
      </c>
      <c r="S108" s="14">
        <f t="shared" si="8"/>
        <v>72</v>
      </c>
      <c r="T108" s="10">
        <v>208</v>
      </c>
      <c r="U108" s="14">
        <v>2</v>
      </c>
    </row>
    <row r="109" spans="1:21" x14ac:dyDescent="0.2">
      <c r="A109" s="7" t="s">
        <v>1150</v>
      </c>
      <c r="B109" s="10">
        <v>2007</v>
      </c>
      <c r="C109" s="9" t="s">
        <v>21</v>
      </c>
      <c r="D109" s="9" t="s">
        <v>4</v>
      </c>
      <c r="E109" s="9" t="s">
        <v>634</v>
      </c>
      <c r="F109" s="10">
        <v>315</v>
      </c>
      <c r="G109" s="9" t="s">
        <v>1149</v>
      </c>
      <c r="H109" s="14">
        <f t="shared" si="6"/>
        <v>2018</v>
      </c>
      <c r="I109" s="14">
        <f t="shared" si="7"/>
        <v>2</v>
      </c>
      <c r="J109" s="11" t="s">
        <v>153</v>
      </c>
      <c r="K109" s="9" t="s">
        <v>153</v>
      </c>
      <c r="L109" s="11" t="s">
        <v>362</v>
      </c>
      <c r="M109" s="8">
        <v>2</v>
      </c>
      <c r="N109" s="40">
        <v>47.95</v>
      </c>
      <c r="O109" s="15" t="s">
        <v>632</v>
      </c>
      <c r="P109" s="22" t="s">
        <v>1146</v>
      </c>
      <c r="Q109" s="9" t="s">
        <v>442</v>
      </c>
      <c r="R109" s="9" t="s">
        <v>153</v>
      </c>
      <c r="S109" s="14">
        <f t="shared" si="8"/>
        <v>72</v>
      </c>
      <c r="T109" s="10">
        <v>315</v>
      </c>
      <c r="U109" s="14">
        <v>3</v>
      </c>
    </row>
    <row r="110" spans="1:21" x14ac:dyDescent="0.2">
      <c r="A110" s="7" t="s">
        <v>282</v>
      </c>
      <c r="B110" s="8">
        <v>2016</v>
      </c>
      <c r="C110" s="9" t="s">
        <v>21</v>
      </c>
      <c r="D110" s="9" t="s">
        <v>4</v>
      </c>
      <c r="E110" s="9" t="s">
        <v>634</v>
      </c>
      <c r="F110" s="10">
        <v>138</v>
      </c>
      <c r="G110" s="9" t="s">
        <v>284</v>
      </c>
      <c r="H110" s="14">
        <f t="shared" si="6"/>
        <v>2018</v>
      </c>
      <c r="I110" s="14">
        <f t="shared" si="7"/>
        <v>3</v>
      </c>
      <c r="J110" s="11" t="s">
        <v>153</v>
      </c>
      <c r="K110" s="9" t="s">
        <v>153</v>
      </c>
      <c r="L110" s="11" t="s">
        <v>341</v>
      </c>
      <c r="M110" s="8">
        <v>3</v>
      </c>
      <c r="N110" s="34">
        <v>24.1</v>
      </c>
      <c r="O110" s="15" t="s">
        <v>632</v>
      </c>
      <c r="P110" s="22" t="s">
        <v>713</v>
      </c>
      <c r="Q110" s="9" t="s">
        <v>839</v>
      </c>
      <c r="R110" s="9" t="s">
        <v>153</v>
      </c>
      <c r="S110" s="14">
        <f t="shared" si="8"/>
        <v>30</v>
      </c>
      <c r="T110" s="10">
        <v>842</v>
      </c>
      <c r="U110" s="14">
        <v>0</v>
      </c>
    </row>
    <row r="111" spans="1:21" x14ac:dyDescent="0.2">
      <c r="A111" s="7" t="s">
        <v>283</v>
      </c>
      <c r="B111" s="8">
        <v>2015</v>
      </c>
      <c r="C111" s="9" t="s">
        <v>21</v>
      </c>
      <c r="D111" s="9" t="s">
        <v>4</v>
      </c>
      <c r="E111" s="9" t="s">
        <v>634</v>
      </c>
      <c r="F111" s="10">
        <v>62</v>
      </c>
      <c r="G111" s="9" t="s">
        <v>285</v>
      </c>
      <c r="H111" s="14">
        <f t="shared" si="6"/>
        <v>2018</v>
      </c>
      <c r="I111" s="14">
        <f t="shared" si="7"/>
        <v>3</v>
      </c>
      <c r="J111" s="11" t="s">
        <v>153</v>
      </c>
      <c r="K111" s="9" t="s">
        <v>153</v>
      </c>
      <c r="L111" s="11" t="s">
        <v>570</v>
      </c>
      <c r="M111" s="8">
        <v>2</v>
      </c>
      <c r="N111" s="34">
        <v>19.899999999999999</v>
      </c>
      <c r="O111" s="15" t="s">
        <v>632</v>
      </c>
      <c r="P111" s="22" t="s">
        <v>714</v>
      </c>
      <c r="Q111" s="9" t="s">
        <v>839</v>
      </c>
      <c r="R111" s="9" t="s">
        <v>153</v>
      </c>
      <c r="S111" s="14">
        <f t="shared" si="8"/>
        <v>46</v>
      </c>
      <c r="T111" s="10">
        <v>553</v>
      </c>
      <c r="U111" s="14">
        <v>0</v>
      </c>
    </row>
    <row r="112" spans="1:21" x14ac:dyDescent="0.2">
      <c r="A112" s="7" t="s">
        <v>286</v>
      </c>
      <c r="B112" s="10">
        <v>2014</v>
      </c>
      <c r="C112" s="9" t="s">
        <v>21</v>
      </c>
      <c r="D112" s="9" t="s">
        <v>4</v>
      </c>
      <c r="E112" s="9" t="s">
        <v>634</v>
      </c>
      <c r="F112" s="10">
        <v>21</v>
      </c>
      <c r="G112" s="9" t="s">
        <v>287</v>
      </c>
      <c r="H112" s="14">
        <f t="shared" si="6"/>
        <v>2018</v>
      </c>
      <c r="I112" s="14">
        <f t="shared" si="7"/>
        <v>3</v>
      </c>
      <c r="J112" s="11" t="s">
        <v>153</v>
      </c>
      <c r="K112" s="9" t="s">
        <v>153</v>
      </c>
      <c r="L112" s="11" t="s">
        <v>570</v>
      </c>
      <c r="M112" s="8">
        <v>1</v>
      </c>
      <c r="N112" s="35">
        <v>0</v>
      </c>
      <c r="O112" s="15" t="s">
        <v>632</v>
      </c>
      <c r="P112" s="22" t="s">
        <v>60</v>
      </c>
      <c r="Q112" s="9" t="s">
        <v>839</v>
      </c>
      <c r="R112" s="9" t="s">
        <v>153</v>
      </c>
      <c r="S112" s="14">
        <f t="shared" si="8"/>
        <v>8</v>
      </c>
      <c r="T112" s="10">
        <v>20</v>
      </c>
      <c r="U112" s="14">
        <v>0</v>
      </c>
    </row>
    <row r="113" spans="1:21" x14ac:dyDescent="0.2">
      <c r="A113" s="7" t="s">
        <v>289</v>
      </c>
      <c r="B113" s="10">
        <v>2016</v>
      </c>
      <c r="C113" s="9" t="s">
        <v>21</v>
      </c>
      <c r="D113" s="9" t="s">
        <v>4</v>
      </c>
      <c r="E113" s="9" t="s">
        <v>634</v>
      </c>
      <c r="F113" s="10">
        <v>34</v>
      </c>
      <c r="G113" s="9" t="s">
        <v>290</v>
      </c>
      <c r="H113" s="14">
        <f t="shared" si="6"/>
        <v>2018</v>
      </c>
      <c r="I113" s="14">
        <f t="shared" si="7"/>
        <v>3</v>
      </c>
      <c r="J113" s="11" t="s">
        <v>153</v>
      </c>
      <c r="K113" s="9" t="s">
        <v>153</v>
      </c>
      <c r="L113" s="9" t="s">
        <v>570</v>
      </c>
      <c r="M113" s="8">
        <v>2</v>
      </c>
      <c r="N113" s="35">
        <v>0</v>
      </c>
      <c r="O113" s="15" t="s">
        <v>632</v>
      </c>
      <c r="P113" s="22" t="s">
        <v>715</v>
      </c>
      <c r="Q113" s="9" t="s">
        <v>839</v>
      </c>
      <c r="R113" s="9" t="s">
        <v>153</v>
      </c>
      <c r="S113" s="14">
        <f t="shared" si="8"/>
        <v>33</v>
      </c>
      <c r="T113" s="10">
        <v>86</v>
      </c>
      <c r="U113" s="14">
        <v>0</v>
      </c>
    </row>
    <row r="114" spans="1:21" x14ac:dyDescent="0.2">
      <c r="A114" s="7" t="s">
        <v>1157</v>
      </c>
      <c r="B114" s="8">
        <v>2015</v>
      </c>
      <c r="C114" s="9" t="s">
        <v>21</v>
      </c>
      <c r="D114" s="9" t="s">
        <v>4</v>
      </c>
      <c r="E114" s="9" t="s">
        <v>634</v>
      </c>
      <c r="F114" s="10">
        <v>196</v>
      </c>
      <c r="G114" s="9" t="s">
        <v>291</v>
      </c>
      <c r="H114" s="14">
        <f t="shared" si="6"/>
        <v>2018</v>
      </c>
      <c r="I114" s="14">
        <f t="shared" si="7"/>
        <v>3</v>
      </c>
      <c r="J114" s="11" t="s">
        <v>153</v>
      </c>
      <c r="K114" s="9" t="s">
        <v>153</v>
      </c>
      <c r="L114" s="11" t="s">
        <v>367</v>
      </c>
      <c r="M114" s="8">
        <v>2</v>
      </c>
      <c r="N114" s="34">
        <v>28.74</v>
      </c>
      <c r="O114" s="15" t="s">
        <v>632</v>
      </c>
      <c r="P114" s="22" t="s">
        <v>716</v>
      </c>
      <c r="Q114" s="9" t="s">
        <v>839</v>
      </c>
      <c r="R114" s="9" t="s">
        <v>153</v>
      </c>
      <c r="S114" s="14">
        <f t="shared" si="8"/>
        <v>115</v>
      </c>
      <c r="T114" s="10">
        <v>694</v>
      </c>
      <c r="U114" s="14">
        <v>0</v>
      </c>
    </row>
    <row r="115" spans="1:21" x14ac:dyDescent="0.2">
      <c r="A115" s="7" t="s">
        <v>806</v>
      </c>
      <c r="B115" s="8">
        <v>2015</v>
      </c>
      <c r="C115" s="9" t="s">
        <v>21</v>
      </c>
      <c r="D115" s="9" t="s">
        <v>4</v>
      </c>
      <c r="E115" s="9" t="s">
        <v>634</v>
      </c>
      <c r="F115" s="10">
        <v>149</v>
      </c>
      <c r="G115" s="9" t="s">
        <v>292</v>
      </c>
      <c r="H115" s="14">
        <f t="shared" si="6"/>
        <v>2018</v>
      </c>
      <c r="I115" s="14">
        <f t="shared" si="7"/>
        <v>3</v>
      </c>
      <c r="J115" s="11" t="s">
        <v>153</v>
      </c>
      <c r="K115" s="9" t="s">
        <v>153</v>
      </c>
      <c r="L115" s="11" t="s">
        <v>341</v>
      </c>
      <c r="M115" s="8">
        <v>2</v>
      </c>
      <c r="N115" s="34">
        <v>24.99</v>
      </c>
      <c r="O115" s="15" t="s">
        <v>632</v>
      </c>
      <c r="P115" s="22" t="s">
        <v>717</v>
      </c>
      <c r="Q115" s="9" t="s">
        <v>1155</v>
      </c>
      <c r="R115" s="9" t="s">
        <v>153</v>
      </c>
      <c r="S115" s="14">
        <f t="shared" si="8"/>
        <v>126</v>
      </c>
      <c r="T115" s="10">
        <v>925</v>
      </c>
      <c r="U115" s="14">
        <v>0</v>
      </c>
    </row>
    <row r="116" spans="1:21" x14ac:dyDescent="0.2">
      <c r="A116" s="7" t="s">
        <v>293</v>
      </c>
      <c r="B116" s="10">
        <v>2012</v>
      </c>
      <c r="C116" s="9" t="s">
        <v>21</v>
      </c>
      <c r="D116" s="9" t="s">
        <v>4</v>
      </c>
      <c r="E116" s="9" t="s">
        <v>634</v>
      </c>
      <c r="F116" s="10">
        <v>303</v>
      </c>
      <c r="G116" s="9" t="s">
        <v>295</v>
      </c>
      <c r="H116" s="14">
        <f t="shared" si="6"/>
        <v>2018</v>
      </c>
      <c r="I116" s="14">
        <f t="shared" si="7"/>
        <v>4</v>
      </c>
      <c r="J116" s="11" t="s">
        <v>153</v>
      </c>
      <c r="K116" s="9" t="s">
        <v>153</v>
      </c>
      <c r="L116" s="11" t="s">
        <v>346</v>
      </c>
      <c r="M116" s="8">
        <v>3</v>
      </c>
      <c r="N116" s="34">
        <v>28.48</v>
      </c>
      <c r="O116" s="15" t="s">
        <v>632</v>
      </c>
      <c r="P116" s="22" t="s">
        <v>718</v>
      </c>
      <c r="Q116" s="9" t="s">
        <v>1155</v>
      </c>
      <c r="R116" s="9" t="s">
        <v>153</v>
      </c>
      <c r="S116" s="14">
        <f t="shared" si="8"/>
        <v>100</v>
      </c>
      <c r="T116" s="10">
        <v>724</v>
      </c>
      <c r="U116" s="14">
        <v>1</v>
      </c>
    </row>
    <row r="117" spans="1:21" x14ac:dyDescent="0.2">
      <c r="A117" s="7" t="s">
        <v>294</v>
      </c>
      <c r="B117" s="10">
        <v>2014</v>
      </c>
      <c r="C117" s="9" t="s">
        <v>21</v>
      </c>
      <c r="D117" s="9" t="s">
        <v>4</v>
      </c>
      <c r="E117" s="9" t="s">
        <v>634</v>
      </c>
      <c r="F117" s="10">
        <v>282</v>
      </c>
      <c r="G117" s="9" t="s">
        <v>296</v>
      </c>
      <c r="H117" s="14">
        <f t="shared" si="6"/>
        <v>2018</v>
      </c>
      <c r="I117" s="14">
        <f t="shared" si="7"/>
        <v>4</v>
      </c>
      <c r="J117" s="11" t="s">
        <v>153</v>
      </c>
      <c r="K117" s="9" t="s">
        <v>153</v>
      </c>
      <c r="L117" s="9" t="s">
        <v>341</v>
      </c>
      <c r="M117" s="8">
        <v>3</v>
      </c>
      <c r="N117" s="34">
        <v>49.99</v>
      </c>
      <c r="O117" s="15" t="s">
        <v>632</v>
      </c>
      <c r="P117" s="22" t="s">
        <v>719</v>
      </c>
      <c r="Q117" s="9" t="s">
        <v>1155</v>
      </c>
      <c r="R117" s="9" t="s">
        <v>153</v>
      </c>
      <c r="S117" s="14">
        <f t="shared" si="8"/>
        <v>35</v>
      </c>
      <c r="T117" s="10">
        <v>435</v>
      </c>
      <c r="U117" s="14">
        <v>0</v>
      </c>
    </row>
    <row r="118" spans="1:21" x14ac:dyDescent="0.2">
      <c r="A118" s="7" t="s">
        <v>297</v>
      </c>
      <c r="B118" s="10">
        <v>2015</v>
      </c>
      <c r="C118" s="9" t="s">
        <v>21</v>
      </c>
      <c r="D118" s="9" t="s">
        <v>4</v>
      </c>
      <c r="E118" s="9" t="s">
        <v>634</v>
      </c>
      <c r="F118" s="10">
        <v>443</v>
      </c>
      <c r="G118" s="9" t="s">
        <v>296</v>
      </c>
      <c r="H118" s="14">
        <f t="shared" si="6"/>
        <v>2018</v>
      </c>
      <c r="I118" s="14">
        <f t="shared" si="7"/>
        <v>4</v>
      </c>
      <c r="J118" s="11" t="s">
        <v>153</v>
      </c>
      <c r="K118" s="9" t="s">
        <v>153</v>
      </c>
      <c r="L118" s="11" t="s">
        <v>343</v>
      </c>
      <c r="M118" s="8">
        <v>3</v>
      </c>
      <c r="N118" s="34">
        <v>49.99</v>
      </c>
      <c r="O118" s="15" t="s">
        <v>632</v>
      </c>
      <c r="P118" s="22" t="s">
        <v>720</v>
      </c>
      <c r="Q118" s="9" t="s">
        <v>1155</v>
      </c>
      <c r="R118" s="9" t="s">
        <v>153</v>
      </c>
      <c r="S118" s="14">
        <f t="shared" si="8"/>
        <v>20</v>
      </c>
      <c r="T118" s="10">
        <v>222</v>
      </c>
      <c r="U118" s="14">
        <v>0</v>
      </c>
    </row>
    <row r="119" spans="1:21" x14ac:dyDescent="0.2">
      <c r="A119" s="7" t="s">
        <v>298</v>
      </c>
      <c r="B119" s="10">
        <v>2015</v>
      </c>
      <c r="C119" s="9" t="s">
        <v>21</v>
      </c>
      <c r="D119" s="9" t="s">
        <v>4</v>
      </c>
      <c r="E119" s="9" t="s">
        <v>634</v>
      </c>
      <c r="F119" s="10">
        <v>154</v>
      </c>
      <c r="G119" s="9" t="s">
        <v>296</v>
      </c>
      <c r="H119" s="14">
        <f t="shared" si="6"/>
        <v>2018</v>
      </c>
      <c r="I119" s="14">
        <f t="shared" si="7"/>
        <v>4</v>
      </c>
      <c r="J119" s="11" t="s">
        <v>153</v>
      </c>
      <c r="K119" s="11" t="s">
        <v>153</v>
      </c>
      <c r="L119" s="9" t="s">
        <v>341</v>
      </c>
      <c r="M119" s="8">
        <v>1</v>
      </c>
      <c r="N119" s="34">
        <v>24.99</v>
      </c>
      <c r="O119" s="15" t="s">
        <v>632</v>
      </c>
      <c r="P119" s="22" t="s">
        <v>721</v>
      </c>
      <c r="Q119" s="9" t="s">
        <v>839</v>
      </c>
      <c r="R119" s="9" t="s">
        <v>153</v>
      </c>
      <c r="S119" s="14">
        <f t="shared" si="8"/>
        <v>146</v>
      </c>
      <c r="T119" s="10">
        <v>50</v>
      </c>
      <c r="U119" s="14">
        <v>0</v>
      </c>
    </row>
    <row r="120" spans="1:21" x14ac:dyDescent="0.2">
      <c r="A120" s="7" t="s">
        <v>1158</v>
      </c>
      <c r="B120" s="10">
        <v>2016</v>
      </c>
      <c r="C120" s="9" t="s">
        <v>21</v>
      </c>
      <c r="D120" s="9" t="s">
        <v>4</v>
      </c>
      <c r="E120" s="9" t="s">
        <v>634</v>
      </c>
      <c r="F120" s="10">
        <v>360</v>
      </c>
      <c r="G120" s="9" t="s">
        <v>296</v>
      </c>
      <c r="H120" s="14">
        <f t="shared" si="6"/>
        <v>2018</v>
      </c>
      <c r="I120" s="14">
        <f t="shared" si="7"/>
        <v>4</v>
      </c>
      <c r="J120" s="11" t="s">
        <v>153</v>
      </c>
      <c r="K120" s="11" t="s">
        <v>153</v>
      </c>
      <c r="L120" s="9" t="s">
        <v>345</v>
      </c>
      <c r="M120" s="8">
        <v>1</v>
      </c>
      <c r="N120" s="34">
        <v>49.99</v>
      </c>
      <c r="O120" s="15" t="s">
        <v>632</v>
      </c>
      <c r="P120" s="37" t="s">
        <v>60</v>
      </c>
      <c r="Q120" s="9" t="s">
        <v>839</v>
      </c>
      <c r="R120" s="9" t="s">
        <v>153</v>
      </c>
      <c r="S120" s="14">
        <f t="shared" si="8"/>
        <v>8</v>
      </c>
      <c r="T120" s="10">
        <v>29</v>
      </c>
      <c r="U120" s="14">
        <v>0</v>
      </c>
    </row>
    <row r="121" spans="1:21" x14ac:dyDescent="0.2">
      <c r="A121" s="7" t="s">
        <v>1159</v>
      </c>
      <c r="B121" s="10">
        <v>2016</v>
      </c>
      <c r="C121" s="9" t="s">
        <v>21</v>
      </c>
      <c r="D121" s="9" t="s">
        <v>4</v>
      </c>
      <c r="E121" s="9" t="s">
        <v>634</v>
      </c>
      <c r="F121" s="10">
        <v>370</v>
      </c>
      <c r="G121" s="9" t="s">
        <v>296</v>
      </c>
      <c r="H121" s="14">
        <f t="shared" si="6"/>
        <v>2018</v>
      </c>
      <c r="I121" s="14">
        <f t="shared" si="7"/>
        <v>4</v>
      </c>
      <c r="J121" s="11" t="s">
        <v>153</v>
      </c>
      <c r="K121" s="11" t="s">
        <v>153</v>
      </c>
      <c r="L121" s="9" t="s">
        <v>345</v>
      </c>
      <c r="M121" s="8">
        <v>1</v>
      </c>
      <c r="N121" s="34">
        <v>44.99</v>
      </c>
      <c r="O121" s="15" t="s">
        <v>632</v>
      </c>
      <c r="P121" s="37" t="s">
        <v>60</v>
      </c>
      <c r="Q121" s="9" t="s">
        <v>839</v>
      </c>
      <c r="R121" s="9" t="s">
        <v>153</v>
      </c>
      <c r="S121" s="14">
        <f t="shared" si="8"/>
        <v>8</v>
      </c>
      <c r="T121" s="10">
        <v>78</v>
      </c>
      <c r="U121" s="14">
        <v>1</v>
      </c>
    </row>
    <row r="122" spans="1:21" x14ac:dyDescent="0.2">
      <c r="A122" s="7" t="s">
        <v>1160</v>
      </c>
      <c r="B122" s="10">
        <v>2016</v>
      </c>
      <c r="C122" s="9" t="s">
        <v>21</v>
      </c>
      <c r="D122" s="9" t="s">
        <v>4</v>
      </c>
      <c r="E122" s="9" t="s">
        <v>634</v>
      </c>
      <c r="F122" s="10">
        <v>355</v>
      </c>
      <c r="G122" s="9" t="s">
        <v>296</v>
      </c>
      <c r="H122" s="14">
        <f t="shared" ref="H122" si="9">YEAR(G122)</f>
        <v>2018</v>
      </c>
      <c r="I122" s="14">
        <f t="shared" ref="I122" si="10">MONTH(G122)</f>
        <v>4</v>
      </c>
      <c r="J122" s="11" t="s">
        <v>153</v>
      </c>
      <c r="K122" s="11" t="s">
        <v>153</v>
      </c>
      <c r="L122" s="11" t="s">
        <v>343</v>
      </c>
      <c r="M122" s="8">
        <v>2</v>
      </c>
      <c r="N122" s="34">
        <v>59.99</v>
      </c>
      <c r="O122" s="15" t="s">
        <v>632</v>
      </c>
      <c r="P122" s="37" t="s">
        <v>60</v>
      </c>
      <c r="Q122" s="9" t="s">
        <v>839</v>
      </c>
      <c r="R122" s="9" t="s">
        <v>153</v>
      </c>
      <c r="S122" s="14">
        <f t="shared" si="8"/>
        <v>8</v>
      </c>
      <c r="T122" s="10">
        <v>253</v>
      </c>
      <c r="U122" s="14">
        <v>0</v>
      </c>
    </row>
    <row r="123" spans="1:21" x14ac:dyDescent="0.2">
      <c r="A123" s="7" t="s">
        <v>299</v>
      </c>
      <c r="B123" s="10">
        <v>2015</v>
      </c>
      <c r="C123" s="9" t="s">
        <v>21</v>
      </c>
      <c r="D123" s="9" t="s">
        <v>4</v>
      </c>
      <c r="E123" s="9" t="s">
        <v>634</v>
      </c>
      <c r="F123" s="10">
        <v>225</v>
      </c>
      <c r="G123" s="9" t="s">
        <v>300</v>
      </c>
      <c r="H123" s="14">
        <f t="shared" si="6"/>
        <v>2018</v>
      </c>
      <c r="I123" s="14">
        <f t="shared" si="7"/>
        <v>4</v>
      </c>
      <c r="J123" s="11" t="s">
        <v>153</v>
      </c>
      <c r="K123" s="11" t="s">
        <v>153</v>
      </c>
      <c r="L123" s="11" t="s">
        <v>570</v>
      </c>
      <c r="M123" s="8">
        <v>2</v>
      </c>
      <c r="N123" s="34">
        <v>0</v>
      </c>
      <c r="O123" s="15" t="s">
        <v>632</v>
      </c>
      <c r="P123" s="37" t="s">
        <v>60</v>
      </c>
      <c r="Q123" s="9" t="s">
        <v>839</v>
      </c>
      <c r="R123" s="9" t="s">
        <v>153</v>
      </c>
      <c r="S123" s="14">
        <f t="shared" si="8"/>
        <v>8</v>
      </c>
      <c r="T123" s="10">
        <v>260</v>
      </c>
      <c r="U123" s="14">
        <v>1</v>
      </c>
    </row>
    <row r="124" spans="1:21" x14ac:dyDescent="0.2">
      <c r="A124" s="7" t="s">
        <v>301</v>
      </c>
      <c r="B124" s="10">
        <v>2016</v>
      </c>
      <c r="C124" s="9" t="s">
        <v>21</v>
      </c>
      <c r="D124" s="9" t="s">
        <v>4</v>
      </c>
      <c r="E124" s="9" t="s">
        <v>634</v>
      </c>
      <c r="F124" s="10">
        <v>359</v>
      </c>
      <c r="G124" s="9" t="s">
        <v>300</v>
      </c>
      <c r="H124" s="14">
        <f t="shared" si="6"/>
        <v>2018</v>
      </c>
      <c r="I124" s="14">
        <f t="shared" si="7"/>
        <v>4</v>
      </c>
      <c r="J124" s="11" t="s">
        <v>153</v>
      </c>
      <c r="K124" s="11" t="s">
        <v>153</v>
      </c>
      <c r="L124" s="11" t="s">
        <v>343</v>
      </c>
      <c r="M124" s="8">
        <v>2</v>
      </c>
      <c r="N124" s="34">
        <v>28.57</v>
      </c>
      <c r="O124" s="15" t="s">
        <v>632</v>
      </c>
      <c r="P124" s="22" t="s">
        <v>722</v>
      </c>
      <c r="Q124" s="9" t="s">
        <v>839</v>
      </c>
      <c r="R124" s="9" t="s">
        <v>153</v>
      </c>
      <c r="S124" s="14">
        <f t="shared" si="8"/>
        <v>152</v>
      </c>
      <c r="T124" s="10">
        <v>111</v>
      </c>
      <c r="U124" s="14">
        <v>0</v>
      </c>
    </row>
    <row r="125" spans="1:21" x14ac:dyDescent="0.2">
      <c r="A125" s="7" t="s">
        <v>1196</v>
      </c>
      <c r="B125" s="8">
        <v>2018</v>
      </c>
      <c r="C125" s="9" t="s">
        <v>21</v>
      </c>
      <c r="D125" s="9" t="s">
        <v>4</v>
      </c>
      <c r="E125" s="9" t="s">
        <v>634</v>
      </c>
      <c r="F125" s="10">
        <v>339</v>
      </c>
      <c r="G125" s="9" t="s">
        <v>1197</v>
      </c>
      <c r="H125" s="14">
        <f t="shared" ref="H125" si="11">YEAR(G125)</f>
        <v>2018</v>
      </c>
      <c r="I125" s="14">
        <f t="shared" ref="I125" si="12">MONTH(G125)</f>
        <v>4</v>
      </c>
      <c r="J125" s="11" t="s">
        <v>153</v>
      </c>
      <c r="K125" s="11" t="s">
        <v>153</v>
      </c>
      <c r="L125" s="11" t="s">
        <v>1198</v>
      </c>
      <c r="M125" s="8">
        <v>2</v>
      </c>
      <c r="N125" s="34">
        <v>116</v>
      </c>
      <c r="O125" s="15" t="s">
        <v>632</v>
      </c>
      <c r="P125" s="37" t="s">
        <v>60</v>
      </c>
      <c r="Q125" s="9" t="s">
        <v>1199</v>
      </c>
      <c r="R125" s="9" t="s">
        <v>153</v>
      </c>
      <c r="S125" s="14">
        <f t="shared" si="8"/>
        <v>8</v>
      </c>
      <c r="T125" s="10">
        <v>464</v>
      </c>
      <c r="U125" s="14">
        <v>0</v>
      </c>
    </row>
    <row r="126" spans="1:21" x14ac:dyDescent="0.2">
      <c r="A126" s="7" t="s">
        <v>396</v>
      </c>
      <c r="B126" s="8">
        <v>2018</v>
      </c>
      <c r="C126" s="9" t="s">
        <v>21</v>
      </c>
      <c r="D126" s="9" t="s">
        <v>4</v>
      </c>
      <c r="E126" s="9" t="s">
        <v>634</v>
      </c>
      <c r="F126" s="10">
        <v>24</v>
      </c>
      <c r="G126" s="9" t="s">
        <v>397</v>
      </c>
      <c r="H126" s="14">
        <v>2018</v>
      </c>
      <c r="I126" s="14">
        <f t="shared" si="7"/>
        <v>6</v>
      </c>
      <c r="J126" s="11" t="s">
        <v>153</v>
      </c>
      <c r="K126" s="11" t="s">
        <v>153</v>
      </c>
      <c r="L126" s="11" t="s">
        <v>348</v>
      </c>
      <c r="M126" s="8">
        <v>1</v>
      </c>
      <c r="N126" s="34">
        <v>29.99</v>
      </c>
      <c r="O126" s="15" t="s">
        <v>632</v>
      </c>
      <c r="P126" s="22" t="s">
        <v>723</v>
      </c>
      <c r="Q126" s="9" t="s">
        <v>442</v>
      </c>
      <c r="R126" s="9" t="s">
        <v>153</v>
      </c>
      <c r="S126" s="14">
        <f t="shared" si="8"/>
        <v>163</v>
      </c>
      <c r="T126" s="10">
        <v>0</v>
      </c>
      <c r="U126" s="14">
        <v>0</v>
      </c>
    </row>
    <row r="127" spans="1:21" x14ac:dyDescent="0.2">
      <c r="A127" s="7" t="s">
        <v>318</v>
      </c>
      <c r="B127" s="10">
        <v>2018</v>
      </c>
      <c r="C127" s="9" t="s">
        <v>21</v>
      </c>
      <c r="D127" s="9" t="s">
        <v>4</v>
      </c>
      <c r="E127" s="9" t="s">
        <v>634</v>
      </c>
      <c r="F127" s="14">
        <v>275</v>
      </c>
      <c r="G127" s="9" t="s">
        <v>319</v>
      </c>
      <c r="H127" s="14">
        <f t="shared" si="6"/>
        <v>2018</v>
      </c>
      <c r="I127" s="14">
        <f t="shared" si="7"/>
        <v>7</v>
      </c>
      <c r="J127" s="11" t="s">
        <v>153</v>
      </c>
      <c r="K127" s="11" t="s">
        <v>153</v>
      </c>
      <c r="L127" s="11" t="s">
        <v>348</v>
      </c>
      <c r="M127" s="8">
        <v>1</v>
      </c>
      <c r="N127" s="34">
        <v>37.61</v>
      </c>
      <c r="O127" s="15" t="s">
        <v>632</v>
      </c>
      <c r="P127" s="37" t="s">
        <v>724</v>
      </c>
      <c r="Q127" s="9" t="s">
        <v>1199</v>
      </c>
      <c r="R127" s="9" t="s">
        <v>153</v>
      </c>
      <c r="S127" s="14">
        <f t="shared" si="8"/>
        <v>163</v>
      </c>
      <c r="T127" s="10">
        <v>423</v>
      </c>
      <c r="U127" s="14">
        <v>1</v>
      </c>
    </row>
    <row r="128" spans="1:21" x14ac:dyDescent="0.2">
      <c r="A128" s="7" t="s">
        <v>320</v>
      </c>
      <c r="B128" s="10">
        <v>2018</v>
      </c>
      <c r="C128" s="9" t="s">
        <v>21</v>
      </c>
      <c r="D128" s="9" t="s">
        <v>4</v>
      </c>
      <c r="E128" s="9" t="s">
        <v>634</v>
      </c>
      <c r="F128" s="14">
        <v>101</v>
      </c>
      <c r="G128" s="9" t="s">
        <v>321</v>
      </c>
      <c r="H128" s="14">
        <f t="shared" si="6"/>
        <v>2018</v>
      </c>
      <c r="I128" s="14">
        <f t="shared" si="7"/>
        <v>7</v>
      </c>
      <c r="J128" s="11" t="s">
        <v>152</v>
      </c>
      <c r="K128" s="11" t="s">
        <v>153</v>
      </c>
      <c r="L128" s="11" t="s">
        <v>570</v>
      </c>
      <c r="M128" s="8">
        <v>4</v>
      </c>
      <c r="N128" s="34">
        <v>0</v>
      </c>
      <c r="O128" s="15" t="s">
        <v>632</v>
      </c>
      <c r="P128" s="37" t="s">
        <v>725</v>
      </c>
      <c r="Q128" s="9" t="s">
        <v>441</v>
      </c>
      <c r="R128" s="9" t="s">
        <v>153</v>
      </c>
      <c r="S128" s="14">
        <f t="shared" si="8"/>
        <v>119</v>
      </c>
      <c r="T128" s="10">
        <v>963</v>
      </c>
      <c r="U128" s="14">
        <v>0</v>
      </c>
    </row>
    <row r="129" spans="1:21" x14ac:dyDescent="0.2">
      <c r="A129" s="7" t="s">
        <v>807</v>
      </c>
      <c r="B129" s="8">
        <v>2017</v>
      </c>
      <c r="C129" s="9" t="s">
        <v>21</v>
      </c>
      <c r="D129" s="9" t="s">
        <v>4</v>
      </c>
      <c r="E129" s="9" t="s">
        <v>634</v>
      </c>
      <c r="F129" s="14">
        <v>51</v>
      </c>
      <c r="G129" s="9" t="s">
        <v>322</v>
      </c>
      <c r="H129" s="14">
        <f t="shared" si="6"/>
        <v>2018</v>
      </c>
      <c r="I129" s="14">
        <f t="shared" si="7"/>
        <v>7</v>
      </c>
      <c r="J129" s="11" t="s">
        <v>152</v>
      </c>
      <c r="K129" s="11" t="s">
        <v>153</v>
      </c>
      <c r="L129" s="11" t="s">
        <v>350</v>
      </c>
      <c r="M129" s="8">
        <v>3</v>
      </c>
      <c r="N129" s="34">
        <v>0</v>
      </c>
      <c r="O129" s="15" t="s">
        <v>632</v>
      </c>
      <c r="P129" s="22" t="s">
        <v>726</v>
      </c>
      <c r="Q129" s="9" t="s">
        <v>441</v>
      </c>
      <c r="R129" s="9" t="s">
        <v>153</v>
      </c>
      <c r="S129" s="14">
        <f t="shared" si="8"/>
        <v>56</v>
      </c>
      <c r="T129" s="10">
        <v>494</v>
      </c>
      <c r="U129" s="14">
        <v>1</v>
      </c>
    </row>
    <row r="130" spans="1:21" x14ac:dyDescent="0.2">
      <c r="A130" s="7" t="s">
        <v>323</v>
      </c>
      <c r="B130" s="8">
        <v>2018</v>
      </c>
      <c r="C130" s="9" t="s">
        <v>21</v>
      </c>
      <c r="D130" s="9" t="s">
        <v>4</v>
      </c>
      <c r="E130" s="9" t="s">
        <v>634</v>
      </c>
      <c r="F130" s="14">
        <v>165</v>
      </c>
      <c r="G130" s="9" t="s">
        <v>324</v>
      </c>
      <c r="H130" s="14">
        <f t="shared" si="6"/>
        <v>2018</v>
      </c>
      <c r="I130" s="14">
        <f t="shared" si="7"/>
        <v>10</v>
      </c>
      <c r="J130" s="9" t="s">
        <v>153</v>
      </c>
      <c r="K130" s="11" t="s">
        <v>153</v>
      </c>
      <c r="L130" s="9" t="s">
        <v>348</v>
      </c>
      <c r="M130" s="10">
        <v>2</v>
      </c>
      <c r="N130" s="35">
        <v>31.38</v>
      </c>
      <c r="O130" s="15" t="s">
        <v>632</v>
      </c>
      <c r="P130" s="22" t="s">
        <v>727</v>
      </c>
      <c r="Q130" s="9" t="s">
        <v>1188</v>
      </c>
      <c r="R130" s="9" t="s">
        <v>153</v>
      </c>
      <c r="S130" s="14">
        <f t="shared" si="8"/>
        <v>27</v>
      </c>
      <c r="T130" s="10">
        <v>927</v>
      </c>
      <c r="U130" s="14">
        <v>0</v>
      </c>
    </row>
    <row r="131" spans="1:21" x14ac:dyDescent="0.2">
      <c r="A131" s="7" t="s">
        <v>325</v>
      </c>
      <c r="B131" s="8">
        <v>2016</v>
      </c>
      <c r="C131" s="9" t="s">
        <v>21</v>
      </c>
      <c r="D131" s="9" t="s">
        <v>4</v>
      </c>
      <c r="E131" s="9" t="s">
        <v>634</v>
      </c>
      <c r="F131" s="14">
        <v>189</v>
      </c>
      <c r="G131" s="9" t="s">
        <v>324</v>
      </c>
      <c r="H131" s="14">
        <f t="shared" si="6"/>
        <v>2018</v>
      </c>
      <c r="I131" s="14">
        <f t="shared" si="7"/>
        <v>10</v>
      </c>
      <c r="J131" s="9" t="s">
        <v>153</v>
      </c>
      <c r="K131" s="11" t="s">
        <v>153</v>
      </c>
      <c r="L131" s="9" t="s">
        <v>340</v>
      </c>
      <c r="M131" s="10">
        <v>2</v>
      </c>
      <c r="N131" s="35">
        <v>0</v>
      </c>
      <c r="O131" s="15" t="s">
        <v>632</v>
      </c>
      <c r="P131" s="22" t="s">
        <v>728</v>
      </c>
      <c r="Q131" s="9" t="s">
        <v>1188</v>
      </c>
      <c r="R131" s="9" t="s">
        <v>153</v>
      </c>
      <c r="S131" s="14">
        <f t="shared" si="8"/>
        <v>51</v>
      </c>
      <c r="T131" s="10">
        <v>165</v>
      </c>
      <c r="U131" s="14">
        <v>0</v>
      </c>
    </row>
    <row r="132" spans="1:21" x14ac:dyDescent="0.2">
      <c r="A132" s="7" t="s">
        <v>326</v>
      </c>
      <c r="B132" s="8">
        <v>2018</v>
      </c>
      <c r="C132" s="9" t="s">
        <v>21</v>
      </c>
      <c r="D132" s="9" t="s">
        <v>4</v>
      </c>
      <c r="E132" s="9" t="s">
        <v>634</v>
      </c>
      <c r="F132" s="14">
        <v>394</v>
      </c>
      <c r="G132" s="9" t="s">
        <v>327</v>
      </c>
      <c r="H132" s="14">
        <f t="shared" si="6"/>
        <v>2018</v>
      </c>
      <c r="I132" s="14">
        <f t="shared" si="7"/>
        <v>10</v>
      </c>
      <c r="J132" s="9" t="s">
        <v>153</v>
      </c>
      <c r="K132" s="11" t="s">
        <v>153</v>
      </c>
      <c r="L132" s="9" t="s">
        <v>348</v>
      </c>
      <c r="M132" s="10">
        <v>2</v>
      </c>
      <c r="N132" s="35">
        <v>30.87</v>
      </c>
      <c r="O132" s="15" t="s">
        <v>632</v>
      </c>
      <c r="P132" s="22" t="s">
        <v>729</v>
      </c>
      <c r="Q132" s="9" t="s">
        <v>1199</v>
      </c>
      <c r="R132" s="9" t="s">
        <v>153</v>
      </c>
      <c r="S132" s="14">
        <f t="shared" si="8"/>
        <v>242</v>
      </c>
      <c r="T132" s="10">
        <v>784</v>
      </c>
      <c r="U132" s="14">
        <v>1</v>
      </c>
    </row>
    <row r="133" spans="1:21" x14ac:dyDescent="0.2">
      <c r="A133" s="7" t="s">
        <v>314</v>
      </c>
      <c r="B133" s="10">
        <v>2015</v>
      </c>
      <c r="C133" s="9" t="s">
        <v>21</v>
      </c>
      <c r="D133" s="9" t="s">
        <v>4</v>
      </c>
      <c r="E133" s="9" t="s">
        <v>634</v>
      </c>
      <c r="F133" s="10">
        <v>159</v>
      </c>
      <c r="G133" s="9" t="s">
        <v>328</v>
      </c>
      <c r="H133" s="14">
        <f t="shared" ref="H133:H185" si="13">YEAR(G133)</f>
        <v>2018</v>
      </c>
      <c r="I133" s="14">
        <f t="shared" ref="I133:I189" si="14">MONTH(G133)</f>
        <v>10</v>
      </c>
      <c r="J133" s="9" t="s">
        <v>153</v>
      </c>
      <c r="K133" s="11" t="s">
        <v>153</v>
      </c>
      <c r="L133" s="11" t="s">
        <v>343</v>
      </c>
      <c r="M133" s="10">
        <v>1</v>
      </c>
      <c r="N133" s="35">
        <v>11.56</v>
      </c>
      <c r="O133" s="15" t="s">
        <v>632</v>
      </c>
      <c r="P133" s="22" t="s">
        <v>730</v>
      </c>
      <c r="Q133" s="9" t="s">
        <v>1199</v>
      </c>
      <c r="R133" s="9" t="s">
        <v>153</v>
      </c>
      <c r="S133" s="14">
        <f t="shared" ref="S133:S195" si="15">LEN(P133)</f>
        <v>159</v>
      </c>
      <c r="T133" s="10">
        <v>182</v>
      </c>
      <c r="U133" s="14">
        <v>0</v>
      </c>
    </row>
    <row r="134" spans="1:21" x14ac:dyDescent="0.2">
      <c r="A134" s="7" t="s">
        <v>313</v>
      </c>
      <c r="B134" s="10">
        <v>2011</v>
      </c>
      <c r="C134" s="9" t="s">
        <v>21</v>
      </c>
      <c r="D134" s="9" t="s">
        <v>4</v>
      </c>
      <c r="E134" s="9" t="s">
        <v>634</v>
      </c>
      <c r="F134" s="10">
        <v>110</v>
      </c>
      <c r="G134" s="9" t="s">
        <v>329</v>
      </c>
      <c r="H134" s="14">
        <f t="shared" si="13"/>
        <v>2018</v>
      </c>
      <c r="I134" s="14">
        <f t="shared" si="14"/>
        <v>10</v>
      </c>
      <c r="J134" s="9" t="s">
        <v>153</v>
      </c>
      <c r="K134" s="11" t="s">
        <v>153</v>
      </c>
      <c r="L134" s="11" t="s">
        <v>343</v>
      </c>
      <c r="M134" s="10">
        <v>2</v>
      </c>
      <c r="N134" s="35">
        <v>12.49</v>
      </c>
      <c r="O134" s="15" t="s">
        <v>632</v>
      </c>
      <c r="P134" s="22" t="s">
        <v>731</v>
      </c>
      <c r="Q134" s="9" t="s">
        <v>1188</v>
      </c>
      <c r="R134" s="9" t="s">
        <v>153</v>
      </c>
      <c r="S134" s="14">
        <f t="shared" si="15"/>
        <v>183</v>
      </c>
      <c r="T134" s="10">
        <v>172</v>
      </c>
      <c r="U134" s="14">
        <v>1</v>
      </c>
    </row>
    <row r="135" spans="1:21" x14ac:dyDescent="0.2">
      <c r="A135" s="7" t="s">
        <v>316</v>
      </c>
      <c r="B135" s="10">
        <v>2015</v>
      </c>
      <c r="C135" s="9" t="s">
        <v>21</v>
      </c>
      <c r="D135" s="9" t="s">
        <v>4</v>
      </c>
      <c r="E135" s="9" t="s">
        <v>634</v>
      </c>
      <c r="F135" s="10">
        <v>184</v>
      </c>
      <c r="G135" s="9" t="s">
        <v>329</v>
      </c>
      <c r="H135" s="14">
        <f t="shared" si="13"/>
        <v>2018</v>
      </c>
      <c r="I135" s="14">
        <f t="shared" si="14"/>
        <v>10</v>
      </c>
      <c r="J135" s="9" t="s">
        <v>153</v>
      </c>
      <c r="K135" s="11" t="s">
        <v>153</v>
      </c>
      <c r="L135" s="9" t="s">
        <v>368</v>
      </c>
      <c r="M135" s="10">
        <v>1</v>
      </c>
      <c r="N135" s="35">
        <v>0</v>
      </c>
      <c r="O135" s="15" t="s">
        <v>632</v>
      </c>
      <c r="P135" s="22" t="s">
        <v>732</v>
      </c>
      <c r="Q135" s="9" t="s">
        <v>442</v>
      </c>
      <c r="R135" s="9" t="s">
        <v>153</v>
      </c>
      <c r="S135" s="14">
        <f t="shared" si="15"/>
        <v>266</v>
      </c>
      <c r="T135" s="10">
        <v>0</v>
      </c>
      <c r="U135" s="14">
        <v>0</v>
      </c>
    </row>
    <row r="136" spans="1:21" x14ac:dyDescent="0.2">
      <c r="A136" s="7" t="s">
        <v>1151</v>
      </c>
      <c r="B136" s="10">
        <v>2018</v>
      </c>
      <c r="C136" s="9" t="s">
        <v>21</v>
      </c>
      <c r="D136" s="9" t="s">
        <v>4</v>
      </c>
      <c r="E136" s="9" t="s">
        <v>634</v>
      </c>
      <c r="F136" s="14">
        <v>259</v>
      </c>
      <c r="G136" s="9" t="s">
        <v>330</v>
      </c>
      <c r="H136" s="14">
        <f t="shared" si="13"/>
        <v>2018</v>
      </c>
      <c r="I136" s="14">
        <f t="shared" si="14"/>
        <v>11</v>
      </c>
      <c r="J136" s="9" t="s">
        <v>153</v>
      </c>
      <c r="K136" s="11" t="s">
        <v>153</v>
      </c>
      <c r="L136" s="9" t="s">
        <v>348</v>
      </c>
      <c r="M136" s="10">
        <v>1</v>
      </c>
      <c r="N136" s="35">
        <v>44.99</v>
      </c>
      <c r="O136" s="15" t="s">
        <v>632</v>
      </c>
      <c r="P136" s="22" t="s">
        <v>733</v>
      </c>
      <c r="Q136" s="9" t="s">
        <v>538</v>
      </c>
      <c r="R136" s="9" t="s">
        <v>153</v>
      </c>
      <c r="S136" s="14">
        <f t="shared" si="15"/>
        <v>382</v>
      </c>
      <c r="T136" s="10">
        <v>127</v>
      </c>
      <c r="U136" s="14">
        <v>3</v>
      </c>
    </row>
    <row r="137" spans="1:21" x14ac:dyDescent="0.2">
      <c r="A137" s="7" t="s">
        <v>315</v>
      </c>
      <c r="B137" s="10">
        <v>2014</v>
      </c>
      <c r="C137" s="9" t="s">
        <v>21</v>
      </c>
      <c r="D137" s="9" t="s">
        <v>4</v>
      </c>
      <c r="E137" s="9" t="s">
        <v>634</v>
      </c>
      <c r="F137" s="10">
        <v>170</v>
      </c>
      <c r="G137" s="9" t="s">
        <v>331</v>
      </c>
      <c r="H137" s="14">
        <f t="shared" si="13"/>
        <v>2018</v>
      </c>
      <c r="I137" s="14">
        <f t="shared" si="14"/>
        <v>11</v>
      </c>
      <c r="J137" s="9" t="s">
        <v>153</v>
      </c>
      <c r="K137" s="11" t="s">
        <v>153</v>
      </c>
      <c r="L137" s="9" t="s">
        <v>341</v>
      </c>
      <c r="M137" s="10">
        <v>1</v>
      </c>
      <c r="N137" s="35">
        <v>34.99</v>
      </c>
      <c r="O137" s="15" t="s">
        <v>632</v>
      </c>
      <c r="P137" s="22" t="s">
        <v>734</v>
      </c>
      <c r="Q137" s="9" t="s">
        <v>1199</v>
      </c>
      <c r="R137" s="9" t="s">
        <v>153</v>
      </c>
      <c r="S137" s="14">
        <f t="shared" si="15"/>
        <v>59</v>
      </c>
      <c r="T137" s="10">
        <v>188</v>
      </c>
      <c r="U137" s="14">
        <v>1</v>
      </c>
    </row>
    <row r="138" spans="1:21" x14ac:dyDescent="0.2">
      <c r="A138" s="7" t="s">
        <v>317</v>
      </c>
      <c r="B138" s="10">
        <v>2017</v>
      </c>
      <c r="C138" s="9" t="s">
        <v>21</v>
      </c>
      <c r="D138" s="9" t="s">
        <v>4</v>
      </c>
      <c r="E138" s="9" t="s">
        <v>634</v>
      </c>
      <c r="F138" s="10">
        <v>379</v>
      </c>
      <c r="G138" s="9" t="s">
        <v>332</v>
      </c>
      <c r="H138" s="14">
        <f t="shared" si="13"/>
        <v>2018</v>
      </c>
      <c r="I138" s="14">
        <f t="shared" si="14"/>
        <v>11</v>
      </c>
      <c r="J138" s="9" t="s">
        <v>153</v>
      </c>
      <c r="K138" s="11" t="s">
        <v>153</v>
      </c>
      <c r="L138" s="9" t="s">
        <v>348</v>
      </c>
      <c r="M138" s="10">
        <v>4</v>
      </c>
      <c r="N138" s="35">
        <v>79.989999999999995</v>
      </c>
      <c r="O138" s="15" t="s">
        <v>632</v>
      </c>
      <c r="P138" s="22" t="s">
        <v>735</v>
      </c>
      <c r="Q138" s="9" t="s">
        <v>442</v>
      </c>
      <c r="R138" s="9" t="s">
        <v>153</v>
      </c>
      <c r="S138" s="14">
        <f t="shared" si="15"/>
        <v>338</v>
      </c>
      <c r="T138" s="10">
        <v>601</v>
      </c>
      <c r="U138" s="14">
        <v>1</v>
      </c>
    </row>
    <row r="139" spans="1:21" x14ac:dyDescent="0.2">
      <c r="A139" s="7" t="s">
        <v>333</v>
      </c>
      <c r="B139" s="10">
        <v>2013</v>
      </c>
      <c r="C139" s="9" t="s">
        <v>21</v>
      </c>
      <c r="D139" s="9" t="s">
        <v>4</v>
      </c>
      <c r="E139" s="9" t="s">
        <v>634</v>
      </c>
      <c r="F139" s="14">
        <v>307</v>
      </c>
      <c r="G139" s="9" t="s">
        <v>332</v>
      </c>
      <c r="H139" s="14">
        <f t="shared" si="13"/>
        <v>2018</v>
      </c>
      <c r="I139" s="14">
        <f t="shared" si="14"/>
        <v>11</v>
      </c>
      <c r="J139" s="11" t="s">
        <v>153</v>
      </c>
      <c r="K139" s="11" t="s">
        <v>153</v>
      </c>
      <c r="L139" s="11" t="s">
        <v>570</v>
      </c>
      <c r="M139" s="8">
        <v>2</v>
      </c>
      <c r="N139" s="35">
        <v>0</v>
      </c>
      <c r="O139" s="15" t="s">
        <v>632</v>
      </c>
      <c r="P139" s="22" t="s">
        <v>736</v>
      </c>
      <c r="Q139" s="9" t="s">
        <v>1155</v>
      </c>
      <c r="R139" s="9" t="s">
        <v>153</v>
      </c>
      <c r="S139" s="14">
        <f t="shared" si="15"/>
        <v>89</v>
      </c>
      <c r="T139" s="10">
        <v>126</v>
      </c>
      <c r="U139" s="14">
        <v>0</v>
      </c>
    </row>
    <row r="140" spans="1:21" x14ac:dyDescent="0.2">
      <c r="A140" s="7" t="s">
        <v>308</v>
      </c>
      <c r="B140" s="10">
        <v>2008</v>
      </c>
      <c r="C140" s="9" t="s">
        <v>21</v>
      </c>
      <c r="D140" s="9" t="s">
        <v>4</v>
      </c>
      <c r="E140" s="9" t="s">
        <v>634</v>
      </c>
      <c r="F140" s="10">
        <v>541</v>
      </c>
      <c r="G140" s="9" t="s">
        <v>334</v>
      </c>
      <c r="H140" s="14">
        <f t="shared" si="13"/>
        <v>2018</v>
      </c>
      <c r="I140" s="14">
        <f t="shared" si="14"/>
        <v>11</v>
      </c>
      <c r="J140" s="9" t="s">
        <v>153</v>
      </c>
      <c r="K140" s="11" t="s">
        <v>153</v>
      </c>
      <c r="L140" s="9" t="s">
        <v>348</v>
      </c>
      <c r="M140" s="10">
        <v>2</v>
      </c>
      <c r="N140" s="35">
        <v>63.05</v>
      </c>
      <c r="O140" s="15" t="s">
        <v>632</v>
      </c>
      <c r="P140" s="22" t="s">
        <v>737</v>
      </c>
      <c r="Q140" s="9" t="s">
        <v>1188</v>
      </c>
      <c r="R140" s="9" t="s">
        <v>153</v>
      </c>
      <c r="S140" s="14">
        <f t="shared" si="15"/>
        <v>64</v>
      </c>
      <c r="T140" s="10">
        <v>418</v>
      </c>
      <c r="U140" s="14">
        <v>0</v>
      </c>
    </row>
    <row r="141" spans="1:21" x14ac:dyDescent="0.2">
      <c r="A141" s="7" t="s">
        <v>310</v>
      </c>
      <c r="B141" s="10">
        <v>2018</v>
      </c>
      <c r="C141" s="9" t="s">
        <v>21</v>
      </c>
      <c r="D141" s="9" t="s">
        <v>4</v>
      </c>
      <c r="E141" s="9" t="s">
        <v>634</v>
      </c>
      <c r="F141" s="10">
        <v>289</v>
      </c>
      <c r="G141" s="9" t="s">
        <v>335</v>
      </c>
      <c r="H141" s="14">
        <f t="shared" si="13"/>
        <v>2018</v>
      </c>
      <c r="I141" s="14">
        <f t="shared" si="14"/>
        <v>11</v>
      </c>
      <c r="J141" s="9" t="s">
        <v>153</v>
      </c>
      <c r="K141" s="11" t="s">
        <v>153</v>
      </c>
      <c r="L141" s="9" t="s">
        <v>340</v>
      </c>
      <c r="M141" s="10">
        <v>2</v>
      </c>
      <c r="N141" s="35">
        <v>34.28</v>
      </c>
      <c r="O141" s="15" t="s">
        <v>632</v>
      </c>
      <c r="P141" s="22" t="s">
        <v>738</v>
      </c>
      <c r="Q141" s="9" t="s">
        <v>1188</v>
      </c>
      <c r="R141" s="9" t="s">
        <v>153</v>
      </c>
      <c r="S141" s="14">
        <f t="shared" si="15"/>
        <v>16</v>
      </c>
      <c r="T141" s="10">
        <v>477</v>
      </c>
      <c r="U141" s="14">
        <v>1</v>
      </c>
    </row>
    <row r="142" spans="1:21" x14ac:dyDescent="0.2">
      <c r="A142" s="7" t="s">
        <v>311</v>
      </c>
      <c r="B142" s="10">
        <v>1999</v>
      </c>
      <c r="C142" s="9" t="s">
        <v>21</v>
      </c>
      <c r="D142" s="9" t="s">
        <v>4</v>
      </c>
      <c r="E142" s="9" t="s">
        <v>634</v>
      </c>
      <c r="F142" s="14">
        <v>286</v>
      </c>
      <c r="G142" s="9" t="s">
        <v>335</v>
      </c>
      <c r="H142" s="14">
        <f t="shared" si="13"/>
        <v>2018</v>
      </c>
      <c r="I142" s="14">
        <f t="shared" si="14"/>
        <v>11</v>
      </c>
      <c r="J142" s="9" t="s">
        <v>153</v>
      </c>
      <c r="K142" s="11" t="s">
        <v>153</v>
      </c>
      <c r="L142" s="9" t="s">
        <v>352</v>
      </c>
      <c r="M142" s="10">
        <v>2</v>
      </c>
      <c r="N142" s="35">
        <v>54.34</v>
      </c>
      <c r="O142" s="15" t="s">
        <v>632</v>
      </c>
      <c r="P142" s="22" t="s">
        <v>739</v>
      </c>
      <c r="Q142" s="9" t="s">
        <v>442</v>
      </c>
      <c r="R142" s="9" t="s">
        <v>153</v>
      </c>
      <c r="S142" s="14">
        <f t="shared" si="15"/>
        <v>62</v>
      </c>
      <c r="T142" s="10">
        <v>384</v>
      </c>
      <c r="U142" s="14">
        <v>0</v>
      </c>
    </row>
    <row r="143" spans="1:21" x14ac:dyDescent="0.2">
      <c r="A143" s="7" t="s">
        <v>312</v>
      </c>
      <c r="B143" s="10">
        <v>2015</v>
      </c>
      <c r="C143" s="9" t="s">
        <v>21</v>
      </c>
      <c r="D143" s="9" t="s">
        <v>4</v>
      </c>
      <c r="E143" s="9" t="s">
        <v>634</v>
      </c>
      <c r="F143" s="14">
        <v>483</v>
      </c>
      <c r="G143" s="9" t="s">
        <v>336</v>
      </c>
      <c r="H143" s="14">
        <f t="shared" si="13"/>
        <v>2018</v>
      </c>
      <c r="I143" s="14">
        <f t="shared" si="14"/>
        <v>11</v>
      </c>
      <c r="J143" s="9" t="s">
        <v>152</v>
      </c>
      <c r="K143" s="11" t="s">
        <v>153</v>
      </c>
      <c r="L143" s="9" t="s">
        <v>369</v>
      </c>
      <c r="M143" s="10">
        <v>2</v>
      </c>
      <c r="N143" s="35">
        <v>39</v>
      </c>
      <c r="O143" s="15" t="s">
        <v>632</v>
      </c>
      <c r="P143" s="22" t="s">
        <v>740</v>
      </c>
      <c r="Q143" s="9" t="s">
        <v>442</v>
      </c>
      <c r="R143" s="9" t="s">
        <v>153</v>
      </c>
      <c r="S143" s="14">
        <f t="shared" si="15"/>
        <v>311</v>
      </c>
      <c r="T143" s="10">
        <v>462</v>
      </c>
      <c r="U143" s="14">
        <v>2</v>
      </c>
    </row>
    <row r="144" spans="1:21" x14ac:dyDescent="0.2">
      <c r="A144" s="7" t="s">
        <v>1200</v>
      </c>
      <c r="B144" s="10">
        <v>2018</v>
      </c>
      <c r="C144" s="9" t="s">
        <v>21</v>
      </c>
      <c r="D144" s="9" t="s">
        <v>4</v>
      </c>
      <c r="E144" s="9" t="s">
        <v>634</v>
      </c>
      <c r="F144" s="10">
        <v>272</v>
      </c>
      <c r="G144" s="9" t="s">
        <v>338</v>
      </c>
      <c r="H144" s="14">
        <f t="shared" si="13"/>
        <v>2018</v>
      </c>
      <c r="I144" s="14">
        <f t="shared" si="14"/>
        <v>11</v>
      </c>
      <c r="J144" s="9" t="s">
        <v>153</v>
      </c>
      <c r="K144" s="11" t="s">
        <v>153</v>
      </c>
      <c r="L144" s="9" t="s">
        <v>370</v>
      </c>
      <c r="M144" s="10">
        <v>2</v>
      </c>
      <c r="N144" s="35">
        <v>13.56</v>
      </c>
      <c r="O144" s="15" t="s">
        <v>632</v>
      </c>
      <c r="P144" s="22" t="s">
        <v>741</v>
      </c>
      <c r="Q144" s="9" t="s">
        <v>1199</v>
      </c>
      <c r="R144" s="9" t="s">
        <v>153</v>
      </c>
      <c r="S144" s="14">
        <f t="shared" si="15"/>
        <v>143</v>
      </c>
      <c r="T144" s="10">
        <v>226</v>
      </c>
      <c r="U144" s="14">
        <v>0</v>
      </c>
    </row>
    <row r="145" spans="1:21" x14ac:dyDescent="0.2">
      <c r="A145" s="7" t="s">
        <v>1201</v>
      </c>
      <c r="B145" s="10">
        <v>2015</v>
      </c>
      <c r="C145" s="9" t="s">
        <v>21</v>
      </c>
      <c r="D145" s="9" t="s">
        <v>4</v>
      </c>
      <c r="E145" s="9" t="s">
        <v>634</v>
      </c>
      <c r="F145" s="10">
        <v>212</v>
      </c>
      <c r="G145" s="9" t="s">
        <v>338</v>
      </c>
      <c r="H145" s="14">
        <f t="shared" si="13"/>
        <v>2018</v>
      </c>
      <c r="I145" s="14">
        <f t="shared" si="14"/>
        <v>11</v>
      </c>
      <c r="J145" s="9" t="s">
        <v>153</v>
      </c>
      <c r="K145" s="11" t="s">
        <v>153</v>
      </c>
      <c r="L145" s="11" t="s">
        <v>343</v>
      </c>
      <c r="M145" s="10">
        <v>2</v>
      </c>
      <c r="N145" s="35">
        <v>30.3</v>
      </c>
      <c r="O145" s="15" t="s">
        <v>632</v>
      </c>
      <c r="P145" s="22" t="s">
        <v>742</v>
      </c>
      <c r="Q145" s="9" t="s">
        <v>1199</v>
      </c>
      <c r="R145" s="9" t="s">
        <v>153</v>
      </c>
      <c r="S145" s="14">
        <f t="shared" si="15"/>
        <v>86</v>
      </c>
      <c r="T145" s="10">
        <v>83</v>
      </c>
      <c r="U145" s="14">
        <v>0</v>
      </c>
    </row>
    <row r="146" spans="1:21" x14ac:dyDescent="0.2">
      <c r="A146" s="7" t="s">
        <v>309</v>
      </c>
      <c r="B146" s="10">
        <v>2009</v>
      </c>
      <c r="C146" s="9" t="s">
        <v>21</v>
      </c>
      <c r="D146" s="9" t="s">
        <v>4</v>
      </c>
      <c r="E146" s="9" t="s">
        <v>634</v>
      </c>
      <c r="F146" s="10">
        <v>388</v>
      </c>
      <c r="G146" s="9" t="s">
        <v>371</v>
      </c>
      <c r="H146" s="9">
        <f t="shared" si="13"/>
        <v>2018</v>
      </c>
      <c r="I146" s="14">
        <f t="shared" si="14"/>
        <v>12</v>
      </c>
      <c r="J146" s="9" t="s">
        <v>153</v>
      </c>
      <c r="K146" s="11" t="s">
        <v>153</v>
      </c>
      <c r="L146" s="9" t="s">
        <v>352</v>
      </c>
      <c r="M146" s="10">
        <v>2</v>
      </c>
      <c r="N146" s="35">
        <v>26.5</v>
      </c>
      <c r="O146" s="15" t="s">
        <v>632</v>
      </c>
      <c r="P146" s="22" t="s">
        <v>642</v>
      </c>
      <c r="Q146" s="9" t="s">
        <v>1188</v>
      </c>
      <c r="R146" s="9" t="s">
        <v>153</v>
      </c>
      <c r="S146" s="14">
        <f t="shared" si="15"/>
        <v>16</v>
      </c>
      <c r="T146" s="10">
        <v>242</v>
      </c>
      <c r="U146" s="14">
        <v>1</v>
      </c>
    </row>
    <row r="147" spans="1:21" x14ac:dyDescent="0.2">
      <c r="A147" s="7" t="s">
        <v>372</v>
      </c>
      <c r="B147" s="10">
        <v>2017</v>
      </c>
      <c r="C147" s="9" t="s">
        <v>21</v>
      </c>
      <c r="D147" s="9" t="s">
        <v>4</v>
      </c>
      <c r="E147" s="9" t="s">
        <v>634</v>
      </c>
      <c r="F147" s="14">
        <v>353</v>
      </c>
      <c r="G147" s="9" t="s">
        <v>373</v>
      </c>
      <c r="H147" s="9">
        <f t="shared" si="13"/>
        <v>2018</v>
      </c>
      <c r="I147" s="14">
        <f t="shared" si="14"/>
        <v>12</v>
      </c>
      <c r="J147" s="9" t="s">
        <v>153</v>
      </c>
      <c r="K147" s="11" t="s">
        <v>153</v>
      </c>
      <c r="L147" s="9" t="s">
        <v>348</v>
      </c>
      <c r="M147" s="10">
        <v>1</v>
      </c>
      <c r="N147" s="35">
        <v>34.22</v>
      </c>
      <c r="O147" s="15" t="s">
        <v>632</v>
      </c>
      <c r="P147" s="22" t="s">
        <v>743</v>
      </c>
      <c r="Q147" s="9" t="s">
        <v>1188</v>
      </c>
      <c r="R147" s="9" t="s">
        <v>153</v>
      </c>
      <c r="S147" s="14">
        <f t="shared" si="15"/>
        <v>385</v>
      </c>
      <c r="T147" s="10">
        <v>261</v>
      </c>
      <c r="U147" s="14">
        <v>0</v>
      </c>
    </row>
    <row r="148" spans="1:21" x14ac:dyDescent="0.2">
      <c r="A148" s="7" t="s">
        <v>374</v>
      </c>
      <c r="B148" s="10">
        <v>2015</v>
      </c>
      <c r="C148" s="9" t="s">
        <v>21</v>
      </c>
      <c r="D148" s="9" t="s">
        <v>4</v>
      </c>
      <c r="E148" s="9" t="s">
        <v>634</v>
      </c>
      <c r="F148" s="14">
        <v>107</v>
      </c>
      <c r="G148" s="9" t="s">
        <v>373</v>
      </c>
      <c r="H148" s="9">
        <f t="shared" si="13"/>
        <v>2018</v>
      </c>
      <c r="I148" s="14">
        <f t="shared" si="14"/>
        <v>12</v>
      </c>
      <c r="J148" s="9" t="s">
        <v>153</v>
      </c>
      <c r="K148" s="11" t="s">
        <v>153</v>
      </c>
      <c r="L148" s="9" t="s">
        <v>348</v>
      </c>
      <c r="M148" s="10">
        <v>1</v>
      </c>
      <c r="N148" s="35">
        <v>34.229999999999997</v>
      </c>
      <c r="O148" s="15" t="s">
        <v>632</v>
      </c>
      <c r="P148" s="22" t="s">
        <v>744</v>
      </c>
      <c r="Q148" s="9" t="s">
        <v>1188</v>
      </c>
      <c r="R148" s="9" t="s">
        <v>153</v>
      </c>
      <c r="S148" s="14">
        <f t="shared" si="15"/>
        <v>107</v>
      </c>
      <c r="T148" s="10">
        <v>20</v>
      </c>
      <c r="U148" s="14">
        <v>1</v>
      </c>
    </row>
    <row r="149" spans="1:21" x14ac:dyDescent="0.2">
      <c r="A149" s="7" t="s">
        <v>375</v>
      </c>
      <c r="B149" s="10">
        <v>2012</v>
      </c>
      <c r="C149" s="9" t="s">
        <v>21</v>
      </c>
      <c r="D149" s="9" t="s">
        <v>4</v>
      </c>
      <c r="E149" s="9" t="s">
        <v>634</v>
      </c>
      <c r="F149" s="10">
        <v>444</v>
      </c>
      <c r="G149" s="9" t="s">
        <v>376</v>
      </c>
      <c r="H149" s="9">
        <f t="shared" si="13"/>
        <v>2018</v>
      </c>
      <c r="I149" s="14">
        <f t="shared" si="14"/>
        <v>12</v>
      </c>
      <c r="J149" s="9" t="s">
        <v>153</v>
      </c>
      <c r="K149" s="11" t="s">
        <v>152</v>
      </c>
      <c r="L149" s="9" t="s">
        <v>348</v>
      </c>
      <c r="M149" s="10">
        <v>2</v>
      </c>
      <c r="N149" s="35">
        <v>49.99</v>
      </c>
      <c r="O149" s="15" t="s">
        <v>632</v>
      </c>
      <c r="P149" s="22" t="s">
        <v>642</v>
      </c>
      <c r="Q149" s="9" t="s">
        <v>1188</v>
      </c>
      <c r="R149" s="9" t="s">
        <v>153</v>
      </c>
      <c r="S149" s="14">
        <f t="shared" si="15"/>
        <v>16</v>
      </c>
      <c r="T149" s="10">
        <v>475</v>
      </c>
      <c r="U149" s="14">
        <v>0</v>
      </c>
    </row>
    <row r="150" spans="1:21" x14ac:dyDescent="0.2">
      <c r="A150" s="7" t="s">
        <v>377</v>
      </c>
      <c r="B150" s="10">
        <v>2016</v>
      </c>
      <c r="C150" s="9" t="s">
        <v>21</v>
      </c>
      <c r="D150" s="9" t="s">
        <v>4</v>
      </c>
      <c r="E150" s="9" t="s">
        <v>634</v>
      </c>
      <c r="F150" s="10">
        <v>619</v>
      </c>
      <c r="G150" s="9" t="s">
        <v>378</v>
      </c>
      <c r="H150" s="9">
        <f t="shared" si="13"/>
        <v>2018</v>
      </c>
      <c r="I150" s="14">
        <f t="shared" si="14"/>
        <v>12</v>
      </c>
      <c r="J150" s="9" t="s">
        <v>153</v>
      </c>
      <c r="K150" s="11" t="s">
        <v>152</v>
      </c>
      <c r="L150" s="9" t="s">
        <v>348</v>
      </c>
      <c r="M150" s="10">
        <v>2</v>
      </c>
      <c r="N150" s="35">
        <v>59.99</v>
      </c>
      <c r="O150" s="15" t="s">
        <v>632</v>
      </c>
      <c r="P150" s="22" t="s">
        <v>745</v>
      </c>
      <c r="Q150" s="9" t="s">
        <v>442</v>
      </c>
      <c r="R150" s="9" t="s">
        <v>153</v>
      </c>
      <c r="S150" s="14">
        <f t="shared" si="15"/>
        <v>250</v>
      </c>
      <c r="T150" s="10">
        <v>444</v>
      </c>
      <c r="U150" s="14">
        <v>0</v>
      </c>
    </row>
    <row r="151" spans="1:21" x14ac:dyDescent="0.2">
      <c r="A151" s="7" t="s">
        <v>379</v>
      </c>
      <c r="B151" s="10">
        <v>2017</v>
      </c>
      <c r="C151" s="9" t="s">
        <v>21</v>
      </c>
      <c r="D151" s="9" t="s">
        <v>4</v>
      </c>
      <c r="E151" s="9" t="s">
        <v>634</v>
      </c>
      <c r="F151" s="10">
        <v>329</v>
      </c>
      <c r="G151" s="9" t="s">
        <v>378</v>
      </c>
      <c r="H151" s="9">
        <f t="shared" si="13"/>
        <v>2018</v>
      </c>
      <c r="I151" s="14">
        <f t="shared" si="14"/>
        <v>12</v>
      </c>
      <c r="J151" s="9" t="s">
        <v>153</v>
      </c>
      <c r="K151" s="11" t="s">
        <v>153</v>
      </c>
      <c r="L151" s="9" t="s">
        <v>352</v>
      </c>
      <c r="M151" s="10">
        <v>3</v>
      </c>
      <c r="N151" s="35">
        <v>19.88</v>
      </c>
      <c r="O151" s="15" t="s">
        <v>632</v>
      </c>
      <c r="P151" s="22" t="s">
        <v>746</v>
      </c>
      <c r="Q151" s="9" t="s">
        <v>1199</v>
      </c>
      <c r="R151" s="9" t="s">
        <v>153</v>
      </c>
      <c r="S151" s="14">
        <f t="shared" si="15"/>
        <v>149</v>
      </c>
      <c r="T151" s="10">
        <v>990</v>
      </c>
      <c r="U151" s="14">
        <v>2</v>
      </c>
    </row>
    <row r="152" spans="1:21" x14ac:dyDescent="0.2">
      <c r="A152" s="7" t="s">
        <v>380</v>
      </c>
      <c r="B152" s="10">
        <v>2018</v>
      </c>
      <c r="C152" s="9" t="s">
        <v>21</v>
      </c>
      <c r="D152" s="9" t="s">
        <v>4</v>
      </c>
      <c r="E152" s="9" t="s">
        <v>634</v>
      </c>
      <c r="F152" s="10">
        <v>189</v>
      </c>
      <c r="G152" s="9" t="s">
        <v>381</v>
      </c>
      <c r="H152" s="9">
        <f t="shared" si="13"/>
        <v>2018</v>
      </c>
      <c r="I152" s="14">
        <f t="shared" si="14"/>
        <v>12</v>
      </c>
      <c r="J152" s="9" t="s">
        <v>153</v>
      </c>
      <c r="K152" s="11" t="s">
        <v>153</v>
      </c>
      <c r="L152" s="11" t="s">
        <v>343</v>
      </c>
      <c r="M152" s="10">
        <v>2</v>
      </c>
      <c r="N152" s="35">
        <v>40.630000000000003</v>
      </c>
      <c r="O152" s="15" t="s">
        <v>632</v>
      </c>
      <c r="P152" s="22" t="s">
        <v>642</v>
      </c>
      <c r="Q152" s="9" t="s">
        <v>1199</v>
      </c>
      <c r="R152" s="9" t="s">
        <v>153</v>
      </c>
      <c r="S152" s="14">
        <f t="shared" si="15"/>
        <v>16</v>
      </c>
      <c r="T152" s="10">
        <v>347</v>
      </c>
      <c r="U152" s="14">
        <v>1</v>
      </c>
    </row>
    <row r="153" spans="1:21" x14ac:dyDescent="0.2">
      <c r="A153" s="7" t="s">
        <v>382</v>
      </c>
      <c r="B153" s="10">
        <v>2017</v>
      </c>
      <c r="C153" s="9" t="s">
        <v>21</v>
      </c>
      <c r="D153" s="9" t="s">
        <v>4</v>
      </c>
      <c r="E153" s="9" t="s">
        <v>634</v>
      </c>
      <c r="F153" s="10">
        <v>546</v>
      </c>
      <c r="G153" s="9" t="s">
        <v>383</v>
      </c>
      <c r="H153" s="9">
        <f t="shared" si="13"/>
        <v>2018</v>
      </c>
      <c r="I153" s="14">
        <f t="shared" si="14"/>
        <v>12</v>
      </c>
      <c r="J153" s="9" t="s">
        <v>152</v>
      </c>
      <c r="K153" s="11" t="s">
        <v>153</v>
      </c>
      <c r="L153" s="9" t="s">
        <v>346</v>
      </c>
      <c r="M153" s="10">
        <v>3</v>
      </c>
      <c r="N153" s="35">
        <v>30.75</v>
      </c>
      <c r="O153" s="15" t="s">
        <v>632</v>
      </c>
      <c r="P153" s="22" t="s">
        <v>642</v>
      </c>
      <c r="Q153" s="9" t="s">
        <v>1155</v>
      </c>
      <c r="R153" s="9" t="s">
        <v>153</v>
      </c>
      <c r="S153" s="14">
        <f t="shared" si="15"/>
        <v>16</v>
      </c>
      <c r="T153" s="10">
        <v>478</v>
      </c>
      <c r="U153" s="14">
        <v>0</v>
      </c>
    </row>
    <row r="154" spans="1:21" x14ac:dyDescent="0.2">
      <c r="A154" s="7" t="s">
        <v>384</v>
      </c>
      <c r="B154" s="10">
        <v>2009</v>
      </c>
      <c r="C154" s="9" t="s">
        <v>21</v>
      </c>
      <c r="D154" s="9" t="s">
        <v>4</v>
      </c>
      <c r="E154" s="9" t="s">
        <v>634</v>
      </c>
      <c r="F154" s="10">
        <v>507</v>
      </c>
      <c r="G154" s="9" t="s">
        <v>385</v>
      </c>
      <c r="H154" s="9">
        <f t="shared" si="13"/>
        <v>2018</v>
      </c>
      <c r="I154" s="14">
        <f t="shared" si="14"/>
        <v>12</v>
      </c>
      <c r="J154" s="9" t="s">
        <v>152</v>
      </c>
      <c r="K154" s="11" t="s">
        <v>153</v>
      </c>
      <c r="L154" s="11" t="s">
        <v>346</v>
      </c>
      <c r="M154" s="10">
        <v>3</v>
      </c>
      <c r="N154" s="35">
        <v>47.35</v>
      </c>
      <c r="O154" s="15" t="s">
        <v>632</v>
      </c>
      <c r="P154" s="22" t="s">
        <v>747</v>
      </c>
      <c r="Q154" s="9" t="s">
        <v>442</v>
      </c>
      <c r="R154" s="9" t="s">
        <v>153</v>
      </c>
      <c r="S154" s="14">
        <f t="shared" si="15"/>
        <v>49</v>
      </c>
      <c r="T154" s="10">
        <v>244</v>
      </c>
      <c r="U154" s="14">
        <v>1</v>
      </c>
    </row>
    <row r="155" spans="1:21" x14ac:dyDescent="0.2">
      <c r="A155" s="7" t="s">
        <v>386</v>
      </c>
      <c r="B155" s="10">
        <v>2010</v>
      </c>
      <c r="C155" s="9" t="s">
        <v>21</v>
      </c>
      <c r="D155" s="9" t="s">
        <v>4</v>
      </c>
      <c r="E155" s="9" t="s">
        <v>634</v>
      </c>
      <c r="F155" s="10">
        <v>351</v>
      </c>
      <c r="G155" s="9" t="s">
        <v>387</v>
      </c>
      <c r="H155" s="9">
        <f t="shared" si="13"/>
        <v>2018</v>
      </c>
      <c r="I155" s="14">
        <f t="shared" si="14"/>
        <v>12</v>
      </c>
      <c r="J155" s="9" t="s">
        <v>153</v>
      </c>
      <c r="K155" s="11" t="s">
        <v>153</v>
      </c>
      <c r="L155" s="11" t="s">
        <v>343</v>
      </c>
      <c r="M155" s="10">
        <v>2</v>
      </c>
      <c r="N155" s="35">
        <v>33.47</v>
      </c>
      <c r="O155" s="15" t="s">
        <v>632</v>
      </c>
      <c r="P155" s="22" t="s">
        <v>642</v>
      </c>
      <c r="Q155" s="9" t="s">
        <v>442</v>
      </c>
      <c r="R155" s="9" t="s">
        <v>153</v>
      </c>
      <c r="S155" s="14">
        <f t="shared" si="15"/>
        <v>16</v>
      </c>
      <c r="T155" s="10">
        <v>411</v>
      </c>
      <c r="U155" s="14">
        <v>0</v>
      </c>
    </row>
    <row r="156" spans="1:21" x14ac:dyDescent="0.2">
      <c r="A156" s="7" t="s">
        <v>388</v>
      </c>
      <c r="B156" s="8">
        <v>2018</v>
      </c>
      <c r="C156" s="9" t="s">
        <v>21</v>
      </c>
      <c r="D156" s="9" t="s">
        <v>4</v>
      </c>
      <c r="E156" s="9" t="s">
        <v>634</v>
      </c>
      <c r="F156" s="10">
        <v>63</v>
      </c>
      <c r="G156" s="9" t="s">
        <v>387</v>
      </c>
      <c r="H156" s="9">
        <f t="shared" si="13"/>
        <v>2018</v>
      </c>
      <c r="I156" s="14">
        <f t="shared" si="14"/>
        <v>12</v>
      </c>
      <c r="J156" s="9" t="s">
        <v>153</v>
      </c>
      <c r="K156" s="9" t="s">
        <v>152</v>
      </c>
      <c r="L156" s="9" t="s">
        <v>570</v>
      </c>
      <c r="M156" s="10">
        <v>2</v>
      </c>
      <c r="N156" s="35">
        <v>0</v>
      </c>
      <c r="O156" s="15" t="s">
        <v>632</v>
      </c>
      <c r="P156" s="22" t="s">
        <v>748</v>
      </c>
      <c r="Q156" s="9" t="s">
        <v>442</v>
      </c>
      <c r="R156" s="9" t="s">
        <v>153</v>
      </c>
      <c r="S156" s="14">
        <f t="shared" si="15"/>
        <v>31</v>
      </c>
      <c r="T156" s="10">
        <v>0</v>
      </c>
      <c r="U156" s="14">
        <v>0</v>
      </c>
    </row>
    <row r="157" spans="1:21" x14ac:dyDescent="0.2">
      <c r="A157" s="7" t="s">
        <v>389</v>
      </c>
      <c r="B157" s="8">
        <v>2018</v>
      </c>
      <c r="C157" s="9" t="s">
        <v>21</v>
      </c>
      <c r="D157" s="9" t="s">
        <v>4</v>
      </c>
      <c r="E157" s="9" t="s">
        <v>634</v>
      </c>
      <c r="F157" s="14">
        <v>808</v>
      </c>
      <c r="G157" s="9" t="s">
        <v>390</v>
      </c>
      <c r="H157" s="9">
        <f t="shared" si="13"/>
        <v>2018</v>
      </c>
      <c r="I157" s="14">
        <f t="shared" si="14"/>
        <v>12</v>
      </c>
      <c r="J157" s="9" t="s">
        <v>153</v>
      </c>
      <c r="K157" s="11" t="s">
        <v>153</v>
      </c>
      <c r="L157" s="9" t="s">
        <v>570</v>
      </c>
      <c r="M157" s="14">
        <v>2</v>
      </c>
      <c r="N157" s="35">
        <v>0</v>
      </c>
      <c r="O157" s="15" t="s">
        <v>632</v>
      </c>
      <c r="P157" s="22" t="s">
        <v>749</v>
      </c>
      <c r="Q157" s="9" t="s">
        <v>441</v>
      </c>
      <c r="R157" s="9" t="s">
        <v>153</v>
      </c>
      <c r="S157" s="14">
        <f t="shared" si="15"/>
        <v>55</v>
      </c>
      <c r="T157" s="10">
        <v>510</v>
      </c>
      <c r="U157" s="14">
        <v>0</v>
      </c>
    </row>
    <row r="158" spans="1:21" x14ac:dyDescent="0.2">
      <c r="A158" s="7" t="s">
        <v>391</v>
      </c>
      <c r="B158" s="10">
        <v>2012</v>
      </c>
      <c r="C158" s="9" t="s">
        <v>21</v>
      </c>
      <c r="D158" s="9" t="s">
        <v>4</v>
      </c>
      <c r="E158" s="9" t="s">
        <v>634</v>
      </c>
      <c r="F158" s="10">
        <v>250</v>
      </c>
      <c r="G158" s="9" t="s">
        <v>390</v>
      </c>
      <c r="H158" s="9">
        <f t="shared" si="13"/>
        <v>2018</v>
      </c>
      <c r="I158" s="14">
        <f t="shared" si="14"/>
        <v>12</v>
      </c>
      <c r="J158" s="9" t="s">
        <v>153</v>
      </c>
      <c r="K158" s="11" t="s">
        <v>153</v>
      </c>
      <c r="L158" s="11" t="s">
        <v>570</v>
      </c>
      <c r="M158" s="14">
        <v>2</v>
      </c>
      <c r="N158" s="35">
        <v>0</v>
      </c>
      <c r="O158" s="15" t="s">
        <v>632</v>
      </c>
      <c r="P158" s="22" t="s">
        <v>750</v>
      </c>
      <c r="Q158" s="9" t="s">
        <v>441</v>
      </c>
      <c r="R158" s="9" t="s">
        <v>153</v>
      </c>
      <c r="S158" s="14">
        <f t="shared" si="15"/>
        <v>42</v>
      </c>
      <c r="T158" s="10">
        <v>81</v>
      </c>
      <c r="U158" s="14">
        <v>1</v>
      </c>
    </row>
    <row r="159" spans="1:21" x14ac:dyDescent="0.2">
      <c r="A159" s="7" t="s">
        <v>392</v>
      </c>
      <c r="B159" s="10">
        <v>2018</v>
      </c>
      <c r="C159" s="9" t="s">
        <v>21</v>
      </c>
      <c r="D159" s="9" t="s">
        <v>4</v>
      </c>
      <c r="E159" s="9" t="s">
        <v>634</v>
      </c>
      <c r="F159" s="10">
        <v>182</v>
      </c>
      <c r="G159" s="9" t="s">
        <v>393</v>
      </c>
      <c r="H159" s="9">
        <f t="shared" si="13"/>
        <v>2018</v>
      </c>
      <c r="I159" s="14">
        <f t="shared" si="14"/>
        <v>12</v>
      </c>
      <c r="J159" s="9" t="s">
        <v>153</v>
      </c>
      <c r="K159" s="11" t="s">
        <v>153</v>
      </c>
      <c r="L159" s="9" t="s">
        <v>348</v>
      </c>
      <c r="M159" s="14">
        <v>3</v>
      </c>
      <c r="N159" s="35">
        <v>34.79</v>
      </c>
      <c r="O159" s="15" t="s">
        <v>632</v>
      </c>
      <c r="P159" s="22" t="s">
        <v>751</v>
      </c>
      <c r="Q159" s="9" t="s">
        <v>442</v>
      </c>
      <c r="R159" s="9" t="s">
        <v>153</v>
      </c>
      <c r="S159" s="14">
        <f t="shared" si="15"/>
        <v>164</v>
      </c>
      <c r="T159" s="10">
        <v>313</v>
      </c>
      <c r="U159" s="14">
        <v>0</v>
      </c>
    </row>
    <row r="160" spans="1:21" x14ac:dyDescent="0.2">
      <c r="A160" s="7" t="s">
        <v>394</v>
      </c>
      <c r="B160" s="10">
        <v>2019</v>
      </c>
      <c r="C160" s="9" t="s">
        <v>21</v>
      </c>
      <c r="D160" s="9" t="s">
        <v>4</v>
      </c>
      <c r="E160" s="9" t="s">
        <v>634</v>
      </c>
      <c r="F160" s="10">
        <v>100</v>
      </c>
      <c r="G160" s="9" t="s">
        <v>395</v>
      </c>
      <c r="H160" s="9">
        <f t="shared" si="13"/>
        <v>2018</v>
      </c>
      <c r="I160" s="14">
        <f t="shared" si="14"/>
        <v>12</v>
      </c>
      <c r="J160" s="9" t="s">
        <v>153</v>
      </c>
      <c r="K160" s="11" t="s">
        <v>153</v>
      </c>
      <c r="L160" s="9" t="s">
        <v>340</v>
      </c>
      <c r="M160" s="14">
        <v>1</v>
      </c>
      <c r="N160" s="35">
        <v>27.83</v>
      </c>
      <c r="O160" s="15" t="s">
        <v>632</v>
      </c>
      <c r="P160" s="22" t="s">
        <v>752</v>
      </c>
      <c r="Q160" s="9" t="s">
        <v>1188</v>
      </c>
      <c r="R160" s="9" t="s">
        <v>153</v>
      </c>
      <c r="S160" s="14">
        <f t="shared" si="15"/>
        <v>207</v>
      </c>
      <c r="T160" s="10">
        <v>0</v>
      </c>
      <c r="U160" s="14">
        <v>0</v>
      </c>
    </row>
    <row r="161" spans="1:21" x14ac:dyDescent="0.2">
      <c r="A161" s="7" t="s">
        <v>398</v>
      </c>
      <c r="B161" s="10">
        <v>2017</v>
      </c>
      <c r="C161" s="9" t="s">
        <v>21</v>
      </c>
      <c r="D161" s="9" t="s">
        <v>4</v>
      </c>
      <c r="E161" s="9" t="s">
        <v>634</v>
      </c>
      <c r="F161" s="10">
        <v>499</v>
      </c>
      <c r="G161" s="9" t="s">
        <v>418</v>
      </c>
      <c r="H161" s="9">
        <f t="shared" si="13"/>
        <v>2019</v>
      </c>
      <c r="I161" s="9">
        <f t="shared" si="14"/>
        <v>1</v>
      </c>
      <c r="J161" s="9" t="s">
        <v>153</v>
      </c>
      <c r="K161" s="9" t="s">
        <v>153</v>
      </c>
      <c r="L161" s="9" t="s">
        <v>345</v>
      </c>
      <c r="M161" s="9">
        <v>2</v>
      </c>
      <c r="N161" s="35">
        <v>35.090000000000003</v>
      </c>
      <c r="O161" s="15" t="s">
        <v>632</v>
      </c>
      <c r="P161" s="22" t="s">
        <v>753</v>
      </c>
      <c r="Q161" s="9" t="s">
        <v>1199</v>
      </c>
      <c r="R161" s="9" t="s">
        <v>152</v>
      </c>
      <c r="S161" s="14">
        <f t="shared" si="15"/>
        <v>140</v>
      </c>
      <c r="T161" s="10">
        <v>1025</v>
      </c>
      <c r="U161" s="14">
        <v>2</v>
      </c>
    </row>
    <row r="162" spans="1:21" x14ac:dyDescent="0.2">
      <c r="A162" s="7" t="s">
        <v>399</v>
      </c>
      <c r="B162" s="10">
        <v>2016</v>
      </c>
      <c r="C162" s="9" t="s">
        <v>21</v>
      </c>
      <c r="D162" s="9" t="s">
        <v>4</v>
      </c>
      <c r="E162" s="9" t="s">
        <v>634</v>
      </c>
      <c r="F162" s="10">
        <v>362</v>
      </c>
      <c r="G162" s="9" t="s">
        <v>419</v>
      </c>
      <c r="H162" s="9">
        <f t="shared" si="13"/>
        <v>2019</v>
      </c>
      <c r="I162" s="9">
        <f t="shared" si="14"/>
        <v>1</v>
      </c>
      <c r="J162" s="9" t="s">
        <v>152</v>
      </c>
      <c r="K162" s="9" t="s">
        <v>153</v>
      </c>
      <c r="L162" s="9" t="s">
        <v>343</v>
      </c>
      <c r="M162" s="9">
        <v>4</v>
      </c>
      <c r="N162" s="35">
        <v>49.99</v>
      </c>
      <c r="O162" s="15" t="s">
        <v>632</v>
      </c>
      <c r="P162" s="22" t="s">
        <v>754</v>
      </c>
      <c r="Q162" s="9" t="s">
        <v>839</v>
      </c>
      <c r="R162" s="9" t="s">
        <v>152</v>
      </c>
      <c r="S162" s="14">
        <f t="shared" si="15"/>
        <v>221</v>
      </c>
      <c r="T162" s="10">
        <v>2255</v>
      </c>
      <c r="U162" s="14">
        <v>2</v>
      </c>
    </row>
    <row r="163" spans="1:21" x14ac:dyDescent="0.2">
      <c r="A163" s="7" t="s">
        <v>400</v>
      </c>
      <c r="B163" s="10">
        <v>2019</v>
      </c>
      <c r="C163" s="9" t="s">
        <v>21</v>
      </c>
      <c r="D163" s="9" t="s">
        <v>4</v>
      </c>
      <c r="E163" s="9" t="s">
        <v>634</v>
      </c>
      <c r="F163" s="10">
        <v>100</v>
      </c>
      <c r="G163" s="9" t="s">
        <v>420</v>
      </c>
      <c r="H163" s="9">
        <f t="shared" si="13"/>
        <v>2019</v>
      </c>
      <c r="I163" s="9">
        <f t="shared" si="14"/>
        <v>1</v>
      </c>
      <c r="J163" s="9" t="s">
        <v>153</v>
      </c>
      <c r="K163" s="9" t="s">
        <v>153</v>
      </c>
      <c r="L163" s="9" t="s">
        <v>421</v>
      </c>
      <c r="M163" s="9">
        <v>1</v>
      </c>
      <c r="N163" s="35">
        <v>29.56</v>
      </c>
      <c r="O163" s="15" t="s">
        <v>632</v>
      </c>
      <c r="P163" s="22" t="s">
        <v>755</v>
      </c>
      <c r="Q163" s="9" t="s">
        <v>1188</v>
      </c>
      <c r="R163" s="9" t="s">
        <v>153</v>
      </c>
      <c r="S163" s="14">
        <f t="shared" si="15"/>
        <v>55</v>
      </c>
      <c r="T163" s="10">
        <v>60</v>
      </c>
      <c r="U163" s="14">
        <v>0</v>
      </c>
    </row>
    <row r="164" spans="1:21" x14ac:dyDescent="0.2">
      <c r="A164" s="7" t="s">
        <v>401</v>
      </c>
      <c r="B164" s="10">
        <v>2019</v>
      </c>
      <c r="C164" s="9" t="s">
        <v>21</v>
      </c>
      <c r="D164" s="9" t="s">
        <v>4</v>
      </c>
      <c r="E164" s="9" t="s">
        <v>634</v>
      </c>
      <c r="F164" s="10">
        <v>100</v>
      </c>
      <c r="G164" s="9" t="s">
        <v>420</v>
      </c>
      <c r="H164" s="9">
        <f t="shared" si="13"/>
        <v>2019</v>
      </c>
      <c r="I164" s="9">
        <f t="shared" si="14"/>
        <v>1</v>
      </c>
      <c r="J164" s="9" t="s">
        <v>153</v>
      </c>
      <c r="K164" s="9" t="s">
        <v>153</v>
      </c>
      <c r="L164" s="9" t="s">
        <v>422</v>
      </c>
      <c r="M164" s="9">
        <v>1</v>
      </c>
      <c r="N164" s="35">
        <v>49.65</v>
      </c>
      <c r="O164" s="15" t="s">
        <v>632</v>
      </c>
      <c r="P164" s="22" t="s">
        <v>756</v>
      </c>
      <c r="Q164" s="9" t="s">
        <v>1188</v>
      </c>
      <c r="R164" s="9" t="s">
        <v>152</v>
      </c>
      <c r="S164" s="14">
        <f t="shared" si="15"/>
        <v>27</v>
      </c>
      <c r="T164" s="10">
        <v>97</v>
      </c>
      <c r="U164" s="14">
        <v>0</v>
      </c>
    </row>
    <row r="165" spans="1:21" x14ac:dyDescent="0.2">
      <c r="A165" s="7" t="s">
        <v>402</v>
      </c>
      <c r="B165" s="10">
        <v>2018</v>
      </c>
      <c r="C165" s="9" t="s">
        <v>21</v>
      </c>
      <c r="D165" s="9" t="s">
        <v>4</v>
      </c>
      <c r="E165" s="9" t="s">
        <v>634</v>
      </c>
      <c r="F165" s="10">
        <v>242</v>
      </c>
      <c r="G165" s="9" t="s">
        <v>423</v>
      </c>
      <c r="H165" s="9">
        <f t="shared" si="13"/>
        <v>2019</v>
      </c>
      <c r="I165" s="9">
        <f t="shared" si="14"/>
        <v>2</v>
      </c>
      <c r="J165" s="9" t="s">
        <v>153</v>
      </c>
      <c r="K165" s="9" t="s">
        <v>153</v>
      </c>
      <c r="L165" s="9" t="s">
        <v>348</v>
      </c>
      <c r="M165" s="9">
        <v>3</v>
      </c>
      <c r="N165" s="35">
        <v>49.36</v>
      </c>
      <c r="O165" s="15" t="s">
        <v>632</v>
      </c>
      <c r="P165" s="22" t="s">
        <v>757</v>
      </c>
      <c r="Q165" s="9" t="s">
        <v>1188</v>
      </c>
      <c r="R165" s="9" t="s">
        <v>152</v>
      </c>
      <c r="S165" s="14">
        <f t="shared" si="15"/>
        <v>195</v>
      </c>
      <c r="T165" s="10">
        <v>823</v>
      </c>
      <c r="U165" s="14">
        <v>0</v>
      </c>
    </row>
    <row r="166" spans="1:21" x14ac:dyDescent="0.2">
      <c r="A166" s="7" t="s">
        <v>403</v>
      </c>
      <c r="B166" s="10">
        <v>2017</v>
      </c>
      <c r="C166" s="9" t="s">
        <v>21</v>
      </c>
      <c r="D166" s="9" t="s">
        <v>4</v>
      </c>
      <c r="E166" s="9" t="s">
        <v>634</v>
      </c>
      <c r="F166" s="10">
        <v>948</v>
      </c>
      <c r="G166" s="9" t="s">
        <v>424</v>
      </c>
      <c r="H166" s="9">
        <f t="shared" si="13"/>
        <v>2019</v>
      </c>
      <c r="I166" s="9">
        <f t="shared" si="14"/>
        <v>2</v>
      </c>
      <c r="J166" s="9" t="s">
        <v>153</v>
      </c>
      <c r="K166" s="9" t="s">
        <v>153</v>
      </c>
      <c r="L166" s="9" t="s">
        <v>570</v>
      </c>
      <c r="M166" s="9">
        <v>2</v>
      </c>
      <c r="N166" s="35">
        <v>0</v>
      </c>
      <c r="O166" s="15" t="s">
        <v>632</v>
      </c>
      <c r="P166" s="22" t="s">
        <v>758</v>
      </c>
      <c r="Q166" s="9" t="s">
        <v>1188</v>
      </c>
      <c r="R166" s="9" t="s">
        <v>153</v>
      </c>
      <c r="S166" s="14">
        <f t="shared" si="15"/>
        <v>122</v>
      </c>
      <c r="T166" s="10">
        <v>501</v>
      </c>
      <c r="U166" s="14">
        <v>1</v>
      </c>
    </row>
    <row r="167" spans="1:21" x14ac:dyDescent="0.2">
      <c r="A167" s="7" t="s">
        <v>404</v>
      </c>
      <c r="B167" s="10">
        <v>2018</v>
      </c>
      <c r="C167" s="9" t="s">
        <v>21</v>
      </c>
      <c r="D167" s="9" t="s">
        <v>4</v>
      </c>
      <c r="E167" s="9" t="s">
        <v>634</v>
      </c>
      <c r="F167" s="14">
        <v>201</v>
      </c>
      <c r="G167" s="9" t="s">
        <v>425</v>
      </c>
      <c r="H167" s="9">
        <f t="shared" si="13"/>
        <v>2019</v>
      </c>
      <c r="I167" s="9">
        <f t="shared" si="14"/>
        <v>2</v>
      </c>
      <c r="J167" s="9" t="s">
        <v>153</v>
      </c>
      <c r="K167" s="9" t="s">
        <v>153</v>
      </c>
      <c r="L167" s="9" t="s">
        <v>348</v>
      </c>
      <c r="M167" s="9">
        <v>3</v>
      </c>
      <c r="N167" s="35">
        <v>20.67</v>
      </c>
      <c r="O167" s="15" t="s">
        <v>632</v>
      </c>
      <c r="P167" s="22" t="s">
        <v>759</v>
      </c>
      <c r="Q167" s="9" t="s">
        <v>1188</v>
      </c>
      <c r="R167" s="9" t="s">
        <v>153</v>
      </c>
      <c r="S167" s="14">
        <f t="shared" si="15"/>
        <v>53</v>
      </c>
      <c r="T167" s="10">
        <v>406</v>
      </c>
      <c r="U167" s="14">
        <v>1</v>
      </c>
    </row>
    <row r="168" spans="1:21" x14ac:dyDescent="0.2">
      <c r="A168" s="7" t="s">
        <v>405</v>
      </c>
      <c r="B168" s="10">
        <v>2012</v>
      </c>
      <c r="C168" s="9" t="s">
        <v>21</v>
      </c>
      <c r="D168" s="9" t="s">
        <v>4</v>
      </c>
      <c r="E168" s="9" t="s">
        <v>634</v>
      </c>
      <c r="F168" s="14">
        <v>964</v>
      </c>
      <c r="G168" s="9" t="s">
        <v>426</v>
      </c>
      <c r="H168" s="9">
        <f t="shared" si="13"/>
        <v>2019</v>
      </c>
      <c r="I168" s="9">
        <f t="shared" si="14"/>
        <v>2</v>
      </c>
      <c r="J168" s="9" t="s">
        <v>153</v>
      </c>
      <c r="K168" s="9" t="s">
        <v>153</v>
      </c>
      <c r="L168" s="9" t="s">
        <v>352</v>
      </c>
      <c r="M168" s="9">
        <v>3</v>
      </c>
      <c r="N168" s="35">
        <v>78.03</v>
      </c>
      <c r="O168" s="15" t="s">
        <v>632</v>
      </c>
      <c r="P168" s="22" t="s">
        <v>760</v>
      </c>
      <c r="Q168" s="9" t="s">
        <v>1188</v>
      </c>
      <c r="R168" s="9" t="s">
        <v>153</v>
      </c>
      <c r="S168" s="14">
        <f t="shared" si="15"/>
        <v>201</v>
      </c>
      <c r="T168" s="10">
        <v>2294</v>
      </c>
      <c r="U168" s="14">
        <v>2</v>
      </c>
    </row>
    <row r="169" spans="1:21" x14ac:dyDescent="0.2">
      <c r="A169" s="7" t="s">
        <v>406</v>
      </c>
      <c r="B169" s="10">
        <v>2017</v>
      </c>
      <c r="C169" s="9" t="s">
        <v>21</v>
      </c>
      <c r="D169" s="9" t="s">
        <v>4</v>
      </c>
      <c r="E169" s="9" t="s">
        <v>634</v>
      </c>
      <c r="F169" s="10">
        <v>69</v>
      </c>
      <c r="G169" s="9" t="s">
        <v>426</v>
      </c>
      <c r="H169" s="9">
        <f t="shared" si="13"/>
        <v>2019</v>
      </c>
      <c r="I169" s="9">
        <f t="shared" si="14"/>
        <v>2</v>
      </c>
      <c r="J169" s="9" t="s">
        <v>153</v>
      </c>
      <c r="K169" s="9" t="s">
        <v>153</v>
      </c>
      <c r="L169" s="9" t="s">
        <v>350</v>
      </c>
      <c r="M169" s="9">
        <v>2</v>
      </c>
      <c r="N169" s="35">
        <v>0</v>
      </c>
      <c r="O169" s="15" t="s">
        <v>632</v>
      </c>
      <c r="P169" s="22" t="s">
        <v>642</v>
      </c>
      <c r="Q169" s="9" t="s">
        <v>441</v>
      </c>
      <c r="R169" s="9" t="s">
        <v>153</v>
      </c>
      <c r="S169" s="14">
        <f t="shared" si="15"/>
        <v>16</v>
      </c>
      <c r="T169" s="10">
        <v>291</v>
      </c>
      <c r="U169" s="14">
        <v>0</v>
      </c>
    </row>
    <row r="170" spans="1:21" x14ac:dyDescent="0.2">
      <c r="A170" s="7" t="s">
        <v>407</v>
      </c>
      <c r="B170" s="10">
        <v>2016</v>
      </c>
      <c r="C170" s="9" t="s">
        <v>21</v>
      </c>
      <c r="D170" s="9" t="s">
        <v>4</v>
      </c>
      <c r="E170" s="9" t="s">
        <v>634</v>
      </c>
      <c r="F170" s="10">
        <v>71</v>
      </c>
      <c r="G170" s="9" t="s">
        <v>427</v>
      </c>
      <c r="H170" s="9">
        <f t="shared" si="13"/>
        <v>2019</v>
      </c>
      <c r="I170" s="9">
        <f t="shared" si="14"/>
        <v>2</v>
      </c>
      <c r="J170" s="9" t="s">
        <v>153</v>
      </c>
      <c r="K170" s="9" t="s">
        <v>152</v>
      </c>
      <c r="L170" s="9" t="s">
        <v>350</v>
      </c>
      <c r="M170" s="9">
        <v>2</v>
      </c>
      <c r="N170" s="35">
        <v>0</v>
      </c>
      <c r="O170" s="15" t="s">
        <v>632</v>
      </c>
      <c r="P170" s="22" t="s">
        <v>642</v>
      </c>
      <c r="Q170" s="9" t="s">
        <v>441</v>
      </c>
      <c r="R170" s="9" t="s">
        <v>153</v>
      </c>
      <c r="S170" s="14">
        <f t="shared" si="15"/>
        <v>16</v>
      </c>
      <c r="T170" s="10">
        <v>250</v>
      </c>
      <c r="U170" s="14">
        <v>2</v>
      </c>
    </row>
    <row r="171" spans="1:21" x14ac:dyDescent="0.2">
      <c r="A171" s="7" t="s">
        <v>408</v>
      </c>
      <c r="B171" s="10">
        <v>2015</v>
      </c>
      <c r="C171" s="9" t="s">
        <v>21</v>
      </c>
      <c r="D171" s="9" t="s">
        <v>4</v>
      </c>
      <c r="E171" s="9" t="s">
        <v>634</v>
      </c>
      <c r="F171" s="10">
        <v>165</v>
      </c>
      <c r="G171" s="9" t="s">
        <v>428</v>
      </c>
      <c r="H171" s="9">
        <f t="shared" si="13"/>
        <v>2019</v>
      </c>
      <c r="I171" s="9">
        <f t="shared" si="14"/>
        <v>2</v>
      </c>
      <c r="J171" s="9" t="s">
        <v>153</v>
      </c>
      <c r="K171" s="9" t="s">
        <v>153</v>
      </c>
      <c r="L171" s="9" t="s">
        <v>350</v>
      </c>
      <c r="M171" s="9">
        <v>2</v>
      </c>
      <c r="N171" s="35">
        <v>0</v>
      </c>
      <c r="O171" s="15" t="s">
        <v>632</v>
      </c>
      <c r="P171" s="22" t="s">
        <v>761</v>
      </c>
      <c r="Q171" s="9" t="s">
        <v>441</v>
      </c>
      <c r="R171" s="9" t="s">
        <v>153</v>
      </c>
      <c r="S171" s="14">
        <f t="shared" si="15"/>
        <v>33</v>
      </c>
      <c r="T171" s="10">
        <v>82</v>
      </c>
      <c r="U171" s="14">
        <v>0</v>
      </c>
    </row>
    <row r="172" spans="1:21" x14ac:dyDescent="0.2">
      <c r="A172" s="7" t="s">
        <v>409</v>
      </c>
      <c r="B172" s="10">
        <v>2019</v>
      </c>
      <c r="C172" s="9" t="s">
        <v>21</v>
      </c>
      <c r="D172" s="9" t="s">
        <v>4</v>
      </c>
      <c r="E172" s="9" t="s">
        <v>634</v>
      </c>
      <c r="F172" s="10">
        <v>64</v>
      </c>
      <c r="G172" s="9" t="s">
        <v>428</v>
      </c>
      <c r="H172" s="9">
        <f t="shared" si="13"/>
        <v>2019</v>
      </c>
      <c r="I172" s="9">
        <f t="shared" si="14"/>
        <v>2</v>
      </c>
      <c r="J172" s="9" t="s">
        <v>153</v>
      </c>
      <c r="K172" s="9" t="s">
        <v>153</v>
      </c>
      <c r="L172" s="9" t="s">
        <v>429</v>
      </c>
      <c r="M172" s="9">
        <v>1</v>
      </c>
      <c r="N172" s="35">
        <v>16.760000000000002</v>
      </c>
      <c r="O172" s="15" t="s">
        <v>632</v>
      </c>
      <c r="P172" s="22" t="s">
        <v>762</v>
      </c>
      <c r="Q172" s="9" t="s">
        <v>1155</v>
      </c>
      <c r="R172" s="9" t="s">
        <v>153</v>
      </c>
      <c r="S172" s="14">
        <f t="shared" si="15"/>
        <v>137</v>
      </c>
      <c r="T172" s="10">
        <v>0</v>
      </c>
      <c r="U172" s="14">
        <v>0</v>
      </c>
    </row>
    <row r="173" spans="1:21" x14ac:dyDescent="0.2">
      <c r="A173" s="7" t="s">
        <v>410</v>
      </c>
      <c r="B173" s="10">
        <v>2014</v>
      </c>
      <c r="C173" s="9" t="s">
        <v>21</v>
      </c>
      <c r="D173" s="9" t="s">
        <v>4</v>
      </c>
      <c r="E173" s="9" t="s">
        <v>634</v>
      </c>
      <c r="F173" s="10">
        <v>60</v>
      </c>
      <c r="G173" s="9" t="s">
        <v>430</v>
      </c>
      <c r="H173" s="9">
        <f t="shared" si="13"/>
        <v>2019</v>
      </c>
      <c r="I173" s="9">
        <f t="shared" si="14"/>
        <v>2</v>
      </c>
      <c r="J173" s="9" t="s">
        <v>153</v>
      </c>
      <c r="K173" s="9" t="s">
        <v>152</v>
      </c>
      <c r="L173" s="9" t="s">
        <v>350</v>
      </c>
      <c r="M173" s="9">
        <v>3</v>
      </c>
      <c r="N173" s="35">
        <v>0</v>
      </c>
      <c r="O173" s="15" t="s">
        <v>632</v>
      </c>
      <c r="P173" s="22" t="s">
        <v>657</v>
      </c>
      <c r="Q173" s="9" t="s">
        <v>1188</v>
      </c>
      <c r="R173" s="9" t="s">
        <v>153</v>
      </c>
      <c r="S173" s="14">
        <f t="shared" si="15"/>
        <v>22</v>
      </c>
      <c r="T173" s="10">
        <v>812</v>
      </c>
      <c r="U173" s="14">
        <v>0</v>
      </c>
    </row>
    <row r="174" spans="1:21" x14ac:dyDescent="0.2">
      <c r="A174" s="7" t="s">
        <v>411</v>
      </c>
      <c r="B174" s="10">
        <v>2017</v>
      </c>
      <c r="C174" s="9" t="s">
        <v>21</v>
      </c>
      <c r="D174" s="9" t="s">
        <v>4</v>
      </c>
      <c r="E174" s="9" t="s">
        <v>634</v>
      </c>
      <c r="F174" s="10">
        <v>44</v>
      </c>
      <c r="G174" s="9" t="s">
        <v>430</v>
      </c>
      <c r="H174" s="9">
        <f t="shared" si="13"/>
        <v>2019</v>
      </c>
      <c r="I174" s="9">
        <f t="shared" si="14"/>
        <v>2</v>
      </c>
      <c r="J174" s="9" t="s">
        <v>153</v>
      </c>
      <c r="K174" s="9" t="s">
        <v>153</v>
      </c>
      <c r="L174" s="9" t="s">
        <v>350</v>
      </c>
      <c r="M174" s="9">
        <v>1</v>
      </c>
      <c r="N174" s="35">
        <v>0</v>
      </c>
      <c r="O174" s="15" t="s">
        <v>632</v>
      </c>
      <c r="P174" s="22" t="s">
        <v>763</v>
      </c>
      <c r="Q174" s="9" t="s">
        <v>1188</v>
      </c>
      <c r="R174" s="9" t="s">
        <v>153</v>
      </c>
      <c r="S174" s="14">
        <f t="shared" si="15"/>
        <v>45</v>
      </c>
      <c r="T174" s="10">
        <v>5</v>
      </c>
      <c r="U174" s="14">
        <v>1</v>
      </c>
    </row>
    <row r="175" spans="1:21" x14ac:dyDescent="0.2">
      <c r="A175" s="7" t="s">
        <v>412</v>
      </c>
      <c r="B175" s="10">
        <v>2018</v>
      </c>
      <c r="C175" s="9" t="s">
        <v>21</v>
      </c>
      <c r="D175" s="9" t="s">
        <v>4</v>
      </c>
      <c r="E175" s="9" t="s">
        <v>634</v>
      </c>
      <c r="F175" s="10">
        <v>70</v>
      </c>
      <c r="G175" s="9" t="s">
        <v>430</v>
      </c>
      <c r="H175" s="9">
        <f t="shared" si="13"/>
        <v>2019</v>
      </c>
      <c r="I175" s="9">
        <f t="shared" si="14"/>
        <v>2</v>
      </c>
      <c r="J175" s="9" t="s">
        <v>153</v>
      </c>
      <c r="K175" s="9" t="s">
        <v>153</v>
      </c>
      <c r="L175" s="9" t="s">
        <v>350</v>
      </c>
      <c r="M175" s="9">
        <v>1</v>
      </c>
      <c r="N175" s="35">
        <v>0</v>
      </c>
      <c r="O175" s="15" t="s">
        <v>632</v>
      </c>
      <c r="P175" s="22" t="s">
        <v>764</v>
      </c>
      <c r="Q175" s="9" t="s">
        <v>441</v>
      </c>
      <c r="R175" s="9" t="s">
        <v>153</v>
      </c>
      <c r="S175" s="14">
        <f t="shared" si="15"/>
        <v>127</v>
      </c>
      <c r="T175" s="10">
        <v>64</v>
      </c>
      <c r="U175" s="14">
        <v>2</v>
      </c>
    </row>
    <row r="176" spans="1:21" x14ac:dyDescent="0.2">
      <c r="A176" s="7" t="s">
        <v>413</v>
      </c>
      <c r="B176" s="10">
        <v>2016</v>
      </c>
      <c r="C176" s="9" t="s">
        <v>21</v>
      </c>
      <c r="D176" s="9" t="s">
        <v>4</v>
      </c>
      <c r="E176" s="9" t="s">
        <v>634</v>
      </c>
      <c r="F176" s="10">
        <v>58</v>
      </c>
      <c r="G176" s="9" t="s">
        <v>430</v>
      </c>
      <c r="H176" s="9">
        <f t="shared" si="13"/>
        <v>2019</v>
      </c>
      <c r="I176" s="9">
        <f t="shared" si="14"/>
        <v>2</v>
      </c>
      <c r="J176" s="9" t="s">
        <v>153</v>
      </c>
      <c r="K176" s="9" t="s">
        <v>153</v>
      </c>
      <c r="L176" s="9" t="s">
        <v>350</v>
      </c>
      <c r="M176" s="9">
        <v>3</v>
      </c>
      <c r="N176" s="35">
        <v>0</v>
      </c>
      <c r="O176" s="15" t="s">
        <v>632</v>
      </c>
      <c r="P176" s="22" t="s">
        <v>765</v>
      </c>
      <c r="Q176" s="9" t="s">
        <v>441</v>
      </c>
      <c r="R176" s="9" t="s">
        <v>152</v>
      </c>
      <c r="S176" s="14">
        <f t="shared" si="15"/>
        <v>68</v>
      </c>
      <c r="T176" s="10">
        <v>386</v>
      </c>
      <c r="U176" s="14">
        <v>2</v>
      </c>
    </row>
    <row r="177" spans="1:21" x14ac:dyDescent="0.2">
      <c r="A177" s="7" t="s">
        <v>414</v>
      </c>
      <c r="B177" s="10">
        <v>2018</v>
      </c>
      <c r="C177" s="9" t="s">
        <v>21</v>
      </c>
      <c r="D177" s="9" t="s">
        <v>4</v>
      </c>
      <c r="E177" s="9" t="s">
        <v>634</v>
      </c>
      <c r="F177" s="10">
        <v>35</v>
      </c>
      <c r="G177" s="9" t="s">
        <v>430</v>
      </c>
      <c r="H177" s="9">
        <f t="shared" si="13"/>
        <v>2019</v>
      </c>
      <c r="I177" s="9">
        <f t="shared" si="14"/>
        <v>2</v>
      </c>
      <c r="J177" s="9" t="s">
        <v>153</v>
      </c>
      <c r="K177" s="9" t="s">
        <v>153</v>
      </c>
      <c r="L177" s="9" t="s">
        <v>348</v>
      </c>
      <c r="M177" s="9">
        <v>1</v>
      </c>
      <c r="N177" s="35">
        <v>20.73</v>
      </c>
      <c r="O177" s="15" t="s">
        <v>632</v>
      </c>
      <c r="P177" s="22" t="s">
        <v>766</v>
      </c>
      <c r="Q177" s="9" t="s">
        <v>1199</v>
      </c>
      <c r="R177" s="9" t="s">
        <v>152</v>
      </c>
      <c r="S177" s="14">
        <f t="shared" si="15"/>
        <v>89</v>
      </c>
      <c r="T177" s="10">
        <v>0</v>
      </c>
      <c r="U177" s="14">
        <v>0</v>
      </c>
    </row>
    <row r="178" spans="1:21" x14ac:dyDescent="0.2">
      <c r="A178" s="7" t="s">
        <v>415</v>
      </c>
      <c r="B178" s="10">
        <v>2017</v>
      </c>
      <c r="C178" s="9" t="s">
        <v>21</v>
      </c>
      <c r="D178" s="9" t="s">
        <v>4</v>
      </c>
      <c r="E178" s="9" t="s">
        <v>634</v>
      </c>
      <c r="F178" s="10">
        <v>390</v>
      </c>
      <c r="G178" s="9" t="s">
        <v>431</v>
      </c>
      <c r="H178" s="9">
        <f t="shared" si="13"/>
        <v>2019</v>
      </c>
      <c r="I178" s="9">
        <f t="shared" si="14"/>
        <v>3</v>
      </c>
      <c r="J178" s="9" t="s">
        <v>152</v>
      </c>
      <c r="K178" s="9" t="s">
        <v>152</v>
      </c>
      <c r="L178" s="9" t="s">
        <v>421</v>
      </c>
      <c r="M178" s="9">
        <v>5</v>
      </c>
      <c r="N178" s="35">
        <v>37.07</v>
      </c>
      <c r="O178" s="15" t="s">
        <v>632</v>
      </c>
      <c r="P178" s="22" t="s">
        <v>767</v>
      </c>
      <c r="Q178" s="9" t="s">
        <v>1188</v>
      </c>
      <c r="R178" s="9" t="s">
        <v>152</v>
      </c>
      <c r="S178" s="14">
        <f t="shared" si="15"/>
        <v>295</v>
      </c>
      <c r="T178" s="10">
        <v>1675</v>
      </c>
      <c r="U178" s="14">
        <v>2</v>
      </c>
    </row>
    <row r="179" spans="1:21" x14ac:dyDescent="0.2">
      <c r="A179" s="7" t="s">
        <v>416</v>
      </c>
      <c r="B179" s="10">
        <v>2014</v>
      </c>
      <c r="C179" s="9" t="s">
        <v>21</v>
      </c>
      <c r="D179" s="9" t="s">
        <v>4</v>
      </c>
      <c r="E179" s="9" t="s">
        <v>634</v>
      </c>
      <c r="F179" s="10">
        <v>230</v>
      </c>
      <c r="G179" s="9" t="s">
        <v>431</v>
      </c>
      <c r="H179" s="9">
        <f t="shared" si="13"/>
        <v>2019</v>
      </c>
      <c r="I179" s="9">
        <f t="shared" si="14"/>
        <v>3</v>
      </c>
      <c r="J179" s="9" t="s">
        <v>153</v>
      </c>
      <c r="K179" s="9" t="s">
        <v>153</v>
      </c>
      <c r="L179" s="9" t="s">
        <v>350</v>
      </c>
      <c r="M179" s="9">
        <v>4</v>
      </c>
      <c r="N179" s="35">
        <v>0</v>
      </c>
      <c r="O179" s="15" t="s">
        <v>632</v>
      </c>
      <c r="P179" s="22" t="s">
        <v>768</v>
      </c>
      <c r="Q179" s="9" t="s">
        <v>1188</v>
      </c>
      <c r="R179" s="9" t="s">
        <v>153</v>
      </c>
      <c r="S179" s="14">
        <f t="shared" si="15"/>
        <v>76</v>
      </c>
      <c r="T179" s="10">
        <v>409</v>
      </c>
      <c r="U179" s="14">
        <v>2</v>
      </c>
    </row>
    <row r="180" spans="1:21" x14ac:dyDescent="0.2">
      <c r="A180" s="7" t="s">
        <v>417</v>
      </c>
      <c r="B180" s="10">
        <v>2016</v>
      </c>
      <c r="C180" s="9" t="s">
        <v>21</v>
      </c>
      <c r="D180" s="9" t="s">
        <v>4</v>
      </c>
      <c r="E180" s="9" t="s">
        <v>634</v>
      </c>
      <c r="F180" s="10">
        <v>55</v>
      </c>
      <c r="G180" s="9" t="s">
        <v>431</v>
      </c>
      <c r="H180" s="9">
        <f t="shared" si="13"/>
        <v>2019</v>
      </c>
      <c r="I180" s="9">
        <f t="shared" si="14"/>
        <v>3</v>
      </c>
      <c r="J180" s="9" t="s">
        <v>153</v>
      </c>
      <c r="K180" s="9" t="s">
        <v>153</v>
      </c>
      <c r="L180" s="9" t="s">
        <v>350</v>
      </c>
      <c r="M180" s="9">
        <v>1</v>
      </c>
      <c r="N180" s="35">
        <v>0</v>
      </c>
      <c r="O180" s="15" t="s">
        <v>632</v>
      </c>
      <c r="P180" s="22" t="s">
        <v>769</v>
      </c>
      <c r="Q180" s="9" t="s">
        <v>441</v>
      </c>
      <c r="R180" s="9" t="s">
        <v>152</v>
      </c>
      <c r="S180" s="14">
        <f t="shared" si="15"/>
        <v>287</v>
      </c>
      <c r="T180" s="10">
        <v>162</v>
      </c>
      <c r="U180" s="14">
        <v>0</v>
      </c>
    </row>
    <row r="181" spans="1:21" x14ac:dyDescent="0.2">
      <c r="A181" s="7" t="s">
        <v>432</v>
      </c>
      <c r="B181" s="10">
        <v>2016</v>
      </c>
      <c r="C181" s="9" t="s">
        <v>21</v>
      </c>
      <c r="D181" s="9" t="s">
        <v>4</v>
      </c>
      <c r="E181" s="9" t="s">
        <v>634</v>
      </c>
      <c r="F181" s="10">
        <v>75</v>
      </c>
      <c r="G181" s="9" t="s">
        <v>433</v>
      </c>
      <c r="H181" s="9">
        <f t="shared" si="13"/>
        <v>2019</v>
      </c>
      <c r="I181" s="9">
        <f t="shared" si="14"/>
        <v>3</v>
      </c>
      <c r="J181" s="9" t="s">
        <v>153</v>
      </c>
      <c r="K181" s="9" t="s">
        <v>152</v>
      </c>
      <c r="L181" s="9" t="s">
        <v>350</v>
      </c>
      <c r="M181" s="9">
        <v>4</v>
      </c>
      <c r="N181" s="35">
        <v>0</v>
      </c>
      <c r="O181" s="15" t="s">
        <v>632</v>
      </c>
      <c r="P181" s="22" t="s">
        <v>770</v>
      </c>
      <c r="Q181" s="9" t="s">
        <v>441</v>
      </c>
      <c r="R181" s="9" t="s">
        <v>153</v>
      </c>
      <c r="S181" s="14">
        <f t="shared" si="15"/>
        <v>27</v>
      </c>
      <c r="T181" s="10">
        <v>852</v>
      </c>
      <c r="U181" s="14">
        <v>1</v>
      </c>
    </row>
    <row r="182" spans="1:21" x14ac:dyDescent="0.2">
      <c r="A182" s="7" t="s">
        <v>434</v>
      </c>
      <c r="B182" s="10">
        <v>2012</v>
      </c>
      <c r="C182" s="9" t="s">
        <v>21</v>
      </c>
      <c r="D182" s="9" t="s">
        <v>4</v>
      </c>
      <c r="E182" s="9" t="s">
        <v>634</v>
      </c>
      <c r="F182" s="10">
        <v>50</v>
      </c>
      <c r="G182" s="9" t="s">
        <v>436</v>
      </c>
      <c r="H182" s="9">
        <f t="shared" si="13"/>
        <v>2019</v>
      </c>
      <c r="I182" s="9">
        <f t="shared" si="14"/>
        <v>3</v>
      </c>
      <c r="J182" s="9" t="s">
        <v>153</v>
      </c>
      <c r="K182" s="9" t="s">
        <v>153</v>
      </c>
      <c r="L182" s="9" t="s">
        <v>350</v>
      </c>
      <c r="M182" s="14">
        <v>3</v>
      </c>
      <c r="N182" s="35">
        <v>0</v>
      </c>
      <c r="O182" s="15" t="s">
        <v>632</v>
      </c>
      <c r="P182" s="22" t="s">
        <v>642</v>
      </c>
      <c r="Q182" s="9" t="s">
        <v>442</v>
      </c>
      <c r="R182" s="9" t="s">
        <v>153</v>
      </c>
      <c r="S182" s="14">
        <f t="shared" si="15"/>
        <v>16</v>
      </c>
      <c r="T182" s="10">
        <v>856</v>
      </c>
      <c r="U182" s="14">
        <v>1</v>
      </c>
    </row>
    <row r="183" spans="1:21" x14ac:dyDescent="0.2">
      <c r="A183" s="7" t="s">
        <v>1134</v>
      </c>
      <c r="B183" s="10">
        <v>2013</v>
      </c>
      <c r="C183" s="9" t="s">
        <v>21</v>
      </c>
      <c r="D183" s="9" t="s">
        <v>4</v>
      </c>
      <c r="E183" s="9" t="s">
        <v>634</v>
      </c>
      <c r="F183" s="10">
        <v>58</v>
      </c>
      <c r="G183" s="9" t="s">
        <v>437</v>
      </c>
      <c r="H183" s="9">
        <f t="shared" si="13"/>
        <v>2019</v>
      </c>
      <c r="I183" s="9">
        <f t="shared" si="14"/>
        <v>3</v>
      </c>
      <c r="J183" s="9" t="s">
        <v>153</v>
      </c>
      <c r="K183" s="9" t="s">
        <v>153</v>
      </c>
      <c r="L183" s="9" t="s">
        <v>350</v>
      </c>
      <c r="M183" s="14">
        <v>3</v>
      </c>
      <c r="N183" s="35">
        <v>0</v>
      </c>
      <c r="O183" s="15" t="s">
        <v>632</v>
      </c>
      <c r="P183" s="22" t="s">
        <v>642</v>
      </c>
      <c r="Q183" s="9" t="s">
        <v>442</v>
      </c>
      <c r="R183" s="9" t="s">
        <v>153</v>
      </c>
      <c r="S183" s="14">
        <f t="shared" si="15"/>
        <v>16</v>
      </c>
      <c r="T183" s="10">
        <v>600</v>
      </c>
      <c r="U183" s="14">
        <v>0</v>
      </c>
    </row>
    <row r="184" spans="1:21" x14ac:dyDescent="0.2">
      <c r="A184" s="7" t="s">
        <v>435</v>
      </c>
      <c r="B184" s="10">
        <v>2002</v>
      </c>
      <c r="C184" s="9" t="s">
        <v>21</v>
      </c>
      <c r="D184" s="9" t="s">
        <v>4</v>
      </c>
      <c r="E184" s="9" t="s">
        <v>634</v>
      </c>
      <c r="F184" s="10">
        <v>150</v>
      </c>
      <c r="G184" s="9" t="s">
        <v>437</v>
      </c>
      <c r="H184" s="9">
        <f t="shared" si="13"/>
        <v>2019</v>
      </c>
      <c r="I184" s="9">
        <f t="shared" si="14"/>
        <v>3</v>
      </c>
      <c r="J184" s="9" t="s">
        <v>153</v>
      </c>
      <c r="K184" s="9" t="s">
        <v>153</v>
      </c>
      <c r="L184" s="9" t="s">
        <v>346</v>
      </c>
      <c r="M184" s="14">
        <v>3</v>
      </c>
      <c r="N184" s="35">
        <v>29.89</v>
      </c>
      <c r="O184" s="15" t="s">
        <v>632</v>
      </c>
      <c r="P184" s="22" t="s">
        <v>771</v>
      </c>
      <c r="Q184" s="9" t="s">
        <v>442</v>
      </c>
      <c r="R184" s="9" t="s">
        <v>152</v>
      </c>
      <c r="S184" s="14">
        <f t="shared" si="15"/>
        <v>208</v>
      </c>
      <c r="T184" s="10">
        <v>528</v>
      </c>
      <c r="U184" s="14">
        <v>3</v>
      </c>
    </row>
    <row r="185" spans="1:21" x14ac:dyDescent="0.2">
      <c r="A185" s="7" t="s">
        <v>455</v>
      </c>
      <c r="B185" s="10">
        <v>2015</v>
      </c>
      <c r="C185" s="9" t="s">
        <v>21</v>
      </c>
      <c r="D185" s="9" t="s">
        <v>4</v>
      </c>
      <c r="E185" s="9" t="s">
        <v>634</v>
      </c>
      <c r="F185" s="14">
        <v>170</v>
      </c>
      <c r="G185" s="9" t="s">
        <v>437</v>
      </c>
      <c r="H185" s="9">
        <f t="shared" si="13"/>
        <v>2019</v>
      </c>
      <c r="I185" s="9">
        <f t="shared" si="14"/>
        <v>3</v>
      </c>
      <c r="J185" s="9" t="s">
        <v>153</v>
      </c>
      <c r="K185" s="9" t="s">
        <v>153</v>
      </c>
      <c r="L185" s="9" t="s">
        <v>350</v>
      </c>
      <c r="M185" s="10">
        <v>2</v>
      </c>
      <c r="N185" s="35">
        <v>0</v>
      </c>
      <c r="O185" s="15" t="s">
        <v>632</v>
      </c>
      <c r="P185" s="22" t="s">
        <v>642</v>
      </c>
      <c r="Q185" s="9" t="s">
        <v>441</v>
      </c>
      <c r="R185" s="9" t="s">
        <v>153</v>
      </c>
      <c r="S185" s="14">
        <f t="shared" si="15"/>
        <v>16</v>
      </c>
      <c r="T185" s="10">
        <v>349</v>
      </c>
      <c r="U185" s="14">
        <v>1</v>
      </c>
    </row>
    <row r="186" spans="1:21" x14ac:dyDescent="0.2">
      <c r="A186" s="7" t="s">
        <v>456</v>
      </c>
      <c r="B186" s="10">
        <v>2015</v>
      </c>
      <c r="C186" s="9" t="s">
        <v>21</v>
      </c>
      <c r="D186" s="9" t="s">
        <v>4</v>
      </c>
      <c r="E186" s="9" t="s">
        <v>634</v>
      </c>
      <c r="F186" s="10">
        <v>181</v>
      </c>
      <c r="G186" s="9" t="s">
        <v>437</v>
      </c>
      <c r="H186" s="9">
        <f t="shared" ref="H186:H226" si="16">YEAR(G186)</f>
        <v>2019</v>
      </c>
      <c r="I186" s="9">
        <f t="shared" si="14"/>
        <v>3</v>
      </c>
      <c r="J186" s="9" t="s">
        <v>153</v>
      </c>
      <c r="K186" s="9" t="s">
        <v>153</v>
      </c>
      <c r="L186" s="9" t="s">
        <v>350</v>
      </c>
      <c r="M186" s="10">
        <v>3</v>
      </c>
      <c r="N186" s="35">
        <v>0</v>
      </c>
      <c r="O186" s="15" t="s">
        <v>632</v>
      </c>
      <c r="P186" s="22" t="s">
        <v>642</v>
      </c>
      <c r="Q186" s="9" t="s">
        <v>839</v>
      </c>
      <c r="R186" s="9" t="s">
        <v>153</v>
      </c>
      <c r="S186" s="14">
        <f t="shared" si="15"/>
        <v>16</v>
      </c>
      <c r="T186" s="10">
        <v>716</v>
      </c>
      <c r="U186" s="14">
        <v>0</v>
      </c>
    </row>
    <row r="187" spans="1:21" x14ac:dyDescent="0.2">
      <c r="A187" s="7" t="s">
        <v>457</v>
      </c>
      <c r="B187" s="10">
        <v>2014</v>
      </c>
      <c r="C187" s="9" t="s">
        <v>21</v>
      </c>
      <c r="D187" s="9" t="s">
        <v>4</v>
      </c>
      <c r="E187" s="9" t="s">
        <v>634</v>
      </c>
      <c r="F187" s="10">
        <v>232</v>
      </c>
      <c r="G187" s="9" t="s">
        <v>458</v>
      </c>
      <c r="H187" s="9">
        <f t="shared" si="16"/>
        <v>2019</v>
      </c>
      <c r="I187" s="9">
        <f t="shared" si="14"/>
        <v>3</v>
      </c>
      <c r="J187" s="9" t="s">
        <v>153</v>
      </c>
      <c r="K187" s="9" t="s">
        <v>153</v>
      </c>
      <c r="L187" s="9" t="s">
        <v>350</v>
      </c>
      <c r="M187" s="10">
        <v>2</v>
      </c>
      <c r="N187" s="35">
        <v>0</v>
      </c>
      <c r="O187" s="15" t="s">
        <v>632</v>
      </c>
      <c r="P187" s="22" t="s">
        <v>720</v>
      </c>
      <c r="Q187" s="9" t="s">
        <v>1188</v>
      </c>
      <c r="R187" s="9" t="s">
        <v>153</v>
      </c>
      <c r="S187" s="14">
        <f t="shared" si="15"/>
        <v>20</v>
      </c>
      <c r="T187" s="10">
        <v>0</v>
      </c>
      <c r="U187" s="14">
        <v>0</v>
      </c>
    </row>
    <row r="188" spans="1:21" x14ac:dyDescent="0.2">
      <c r="A188" s="7" t="s">
        <v>459</v>
      </c>
      <c r="B188" s="10">
        <v>2013</v>
      </c>
      <c r="C188" s="9" t="s">
        <v>21</v>
      </c>
      <c r="D188" s="9" t="s">
        <v>4</v>
      </c>
      <c r="E188" s="9" t="s">
        <v>634</v>
      </c>
      <c r="F188" s="10">
        <v>71</v>
      </c>
      <c r="G188" s="9" t="s">
        <v>458</v>
      </c>
      <c r="H188" s="9">
        <f t="shared" si="16"/>
        <v>2019</v>
      </c>
      <c r="I188" s="9">
        <f t="shared" si="14"/>
        <v>3</v>
      </c>
      <c r="J188" s="9" t="s">
        <v>153</v>
      </c>
      <c r="K188" s="9" t="s">
        <v>153</v>
      </c>
      <c r="L188" s="9" t="s">
        <v>350</v>
      </c>
      <c r="M188" s="10">
        <v>2</v>
      </c>
      <c r="N188" s="35">
        <v>0</v>
      </c>
      <c r="O188" s="15" t="s">
        <v>632</v>
      </c>
      <c r="P188" s="22" t="s">
        <v>642</v>
      </c>
      <c r="Q188" s="9" t="s">
        <v>441</v>
      </c>
      <c r="R188" s="9" t="s">
        <v>153</v>
      </c>
      <c r="S188" s="14">
        <f t="shared" si="15"/>
        <v>16</v>
      </c>
      <c r="T188" s="10">
        <v>220</v>
      </c>
      <c r="U188" s="14">
        <v>0</v>
      </c>
    </row>
    <row r="189" spans="1:21" x14ac:dyDescent="0.2">
      <c r="A189" s="7" t="s">
        <v>460</v>
      </c>
      <c r="B189" s="10">
        <v>2016</v>
      </c>
      <c r="C189" s="9" t="s">
        <v>21</v>
      </c>
      <c r="D189" s="9" t="s">
        <v>4</v>
      </c>
      <c r="E189" s="9" t="s">
        <v>634</v>
      </c>
      <c r="F189" s="10">
        <v>58</v>
      </c>
      <c r="G189" s="9" t="s">
        <v>458</v>
      </c>
      <c r="H189" s="9">
        <f t="shared" si="16"/>
        <v>2019</v>
      </c>
      <c r="I189" s="9">
        <f t="shared" si="14"/>
        <v>3</v>
      </c>
      <c r="J189" s="9" t="s">
        <v>153</v>
      </c>
      <c r="K189" s="9" t="s">
        <v>153</v>
      </c>
      <c r="L189" s="9" t="s">
        <v>350</v>
      </c>
      <c r="M189" s="10">
        <v>3</v>
      </c>
      <c r="N189" s="35">
        <v>0</v>
      </c>
      <c r="O189" s="15" t="s">
        <v>632</v>
      </c>
      <c r="P189" s="22" t="s">
        <v>642</v>
      </c>
      <c r="Q189" s="9" t="s">
        <v>441</v>
      </c>
      <c r="R189" s="9" t="s">
        <v>153</v>
      </c>
      <c r="S189" s="14">
        <f t="shared" si="15"/>
        <v>16</v>
      </c>
      <c r="T189" s="10">
        <v>551</v>
      </c>
      <c r="U189" s="14">
        <v>0</v>
      </c>
    </row>
    <row r="190" spans="1:21" x14ac:dyDescent="0.2">
      <c r="A190" s="7" t="s">
        <v>461</v>
      </c>
      <c r="B190" s="10">
        <v>2019</v>
      </c>
      <c r="C190" s="9" t="s">
        <v>21</v>
      </c>
      <c r="D190" s="9" t="s">
        <v>4</v>
      </c>
      <c r="E190" s="9" t="s">
        <v>634</v>
      </c>
      <c r="F190" s="10">
        <v>102</v>
      </c>
      <c r="G190" s="9" t="s">
        <v>458</v>
      </c>
      <c r="H190" s="9">
        <f t="shared" si="16"/>
        <v>2019</v>
      </c>
      <c r="I190" s="9">
        <f t="shared" ref="I190:I191" si="17">MONTH(G190)</f>
        <v>3</v>
      </c>
      <c r="J190" s="9" t="s">
        <v>153</v>
      </c>
      <c r="K190" s="9" t="s">
        <v>153</v>
      </c>
      <c r="L190" s="9" t="s">
        <v>348</v>
      </c>
      <c r="M190" s="10">
        <v>2</v>
      </c>
      <c r="N190" s="35">
        <v>21.15</v>
      </c>
      <c r="O190" s="15" t="s">
        <v>632</v>
      </c>
      <c r="P190" s="22" t="s">
        <v>772</v>
      </c>
      <c r="Q190" s="9" t="s">
        <v>441</v>
      </c>
      <c r="R190" s="9" t="s">
        <v>152</v>
      </c>
      <c r="S190" s="14">
        <f t="shared" si="15"/>
        <v>242</v>
      </c>
      <c r="T190" s="10">
        <v>149</v>
      </c>
      <c r="U190" s="14">
        <v>0</v>
      </c>
    </row>
    <row r="191" spans="1:21" x14ac:dyDescent="0.2">
      <c r="A191" s="12" t="s">
        <v>462</v>
      </c>
      <c r="B191" s="10">
        <v>2012</v>
      </c>
      <c r="C191" s="9" t="s">
        <v>21</v>
      </c>
      <c r="D191" s="9" t="s">
        <v>4</v>
      </c>
      <c r="E191" s="9" t="s">
        <v>634</v>
      </c>
      <c r="F191" s="10">
        <v>416</v>
      </c>
      <c r="G191" s="9" t="s">
        <v>463</v>
      </c>
      <c r="H191" s="9">
        <f t="shared" si="16"/>
        <v>2019</v>
      </c>
      <c r="I191" s="9">
        <f t="shared" si="17"/>
        <v>3</v>
      </c>
      <c r="J191" s="9" t="s">
        <v>153</v>
      </c>
      <c r="K191" s="9" t="s">
        <v>153</v>
      </c>
      <c r="L191" s="9" t="s">
        <v>349</v>
      </c>
      <c r="M191" s="10">
        <v>1</v>
      </c>
      <c r="N191" s="35">
        <v>54.27</v>
      </c>
      <c r="O191" s="15" t="s">
        <v>632</v>
      </c>
      <c r="P191" s="22" t="s">
        <v>773</v>
      </c>
      <c r="Q191" s="9" t="s">
        <v>1199</v>
      </c>
      <c r="R191" s="9" t="s">
        <v>152</v>
      </c>
      <c r="S191" s="14">
        <f t="shared" si="15"/>
        <v>292</v>
      </c>
      <c r="T191" s="10">
        <v>487</v>
      </c>
      <c r="U191" s="14">
        <v>2</v>
      </c>
    </row>
    <row r="192" spans="1:21" x14ac:dyDescent="0.2">
      <c r="A192" s="12" t="s">
        <v>464</v>
      </c>
      <c r="B192" s="10">
        <v>2015</v>
      </c>
      <c r="C192" s="9" t="s">
        <v>21</v>
      </c>
      <c r="D192" s="9" t="s">
        <v>4</v>
      </c>
      <c r="E192" s="9" t="s">
        <v>634</v>
      </c>
      <c r="F192" s="10">
        <v>407</v>
      </c>
      <c r="G192" s="9" t="s">
        <v>463</v>
      </c>
      <c r="H192" s="9">
        <f t="shared" si="16"/>
        <v>2019</v>
      </c>
      <c r="I192" s="9">
        <f t="shared" ref="I192:I193" si="18">MONTH(G192)</f>
        <v>3</v>
      </c>
      <c r="J192" s="9" t="s">
        <v>153</v>
      </c>
      <c r="K192" s="9" t="s">
        <v>153</v>
      </c>
      <c r="L192" s="9" t="s">
        <v>352</v>
      </c>
      <c r="M192" s="10">
        <v>2</v>
      </c>
      <c r="N192" s="35">
        <v>45.69</v>
      </c>
      <c r="O192" s="15" t="s">
        <v>632</v>
      </c>
      <c r="P192" s="22" t="s">
        <v>774</v>
      </c>
      <c r="Q192" s="9" t="s">
        <v>1199</v>
      </c>
      <c r="R192" s="9" t="s">
        <v>152</v>
      </c>
      <c r="S192" s="14">
        <f t="shared" si="15"/>
        <v>260</v>
      </c>
      <c r="T192" s="10">
        <v>841</v>
      </c>
      <c r="U192" s="14">
        <v>0</v>
      </c>
    </row>
    <row r="193" spans="1:21" x14ac:dyDescent="0.2">
      <c r="A193" s="7" t="s">
        <v>465</v>
      </c>
      <c r="B193" s="10">
        <v>2017</v>
      </c>
      <c r="C193" s="9" t="s">
        <v>21</v>
      </c>
      <c r="D193" s="9" t="s">
        <v>4</v>
      </c>
      <c r="E193" s="9" t="s">
        <v>634</v>
      </c>
      <c r="F193" s="10">
        <v>161</v>
      </c>
      <c r="G193" s="9" t="s">
        <v>466</v>
      </c>
      <c r="H193" s="9">
        <f t="shared" si="16"/>
        <v>2019</v>
      </c>
      <c r="I193" s="9">
        <f t="shared" si="18"/>
        <v>3</v>
      </c>
      <c r="J193" s="9" t="s">
        <v>153</v>
      </c>
      <c r="K193" s="9" t="s">
        <v>153</v>
      </c>
      <c r="L193" s="9" t="s">
        <v>467</v>
      </c>
      <c r="M193" s="10">
        <v>2</v>
      </c>
      <c r="N193" s="35">
        <v>11.64</v>
      </c>
      <c r="O193" s="15" t="s">
        <v>632</v>
      </c>
      <c r="P193" s="22" t="s">
        <v>775</v>
      </c>
      <c r="Q193" s="9" t="s">
        <v>442</v>
      </c>
      <c r="R193" s="9" t="s">
        <v>152</v>
      </c>
      <c r="S193" s="14">
        <f t="shared" si="15"/>
        <v>74</v>
      </c>
      <c r="T193" s="10">
        <v>492</v>
      </c>
      <c r="U193" s="14">
        <v>2</v>
      </c>
    </row>
    <row r="194" spans="1:21" x14ac:dyDescent="0.2">
      <c r="A194" s="7" t="s">
        <v>468</v>
      </c>
      <c r="B194" s="10">
        <v>2016</v>
      </c>
      <c r="C194" s="9" t="s">
        <v>21</v>
      </c>
      <c r="D194" s="9" t="s">
        <v>4</v>
      </c>
      <c r="E194" s="9" t="s">
        <v>634</v>
      </c>
      <c r="F194" s="14">
        <v>340</v>
      </c>
      <c r="G194" s="9" t="s">
        <v>466</v>
      </c>
      <c r="H194" s="9">
        <f t="shared" si="16"/>
        <v>2019</v>
      </c>
      <c r="I194" s="9">
        <f t="shared" ref="I194:I200" si="19">MONTH(G194)</f>
        <v>3</v>
      </c>
      <c r="J194" s="9" t="s">
        <v>153</v>
      </c>
      <c r="K194" s="9" t="s">
        <v>153</v>
      </c>
      <c r="L194" s="9" t="s">
        <v>354</v>
      </c>
      <c r="M194" s="14">
        <v>3</v>
      </c>
      <c r="N194" s="35">
        <v>59.4</v>
      </c>
      <c r="O194" s="15" t="s">
        <v>632</v>
      </c>
      <c r="P194" s="22" t="s">
        <v>642</v>
      </c>
      <c r="Q194" s="9" t="s">
        <v>1199</v>
      </c>
      <c r="R194" s="9" t="s">
        <v>153</v>
      </c>
      <c r="S194" s="14">
        <f t="shared" si="15"/>
        <v>16</v>
      </c>
      <c r="T194" s="10">
        <v>948</v>
      </c>
      <c r="U194" s="14">
        <v>1</v>
      </c>
    </row>
    <row r="195" spans="1:21" x14ac:dyDescent="0.2">
      <c r="A195" s="7" t="s">
        <v>469</v>
      </c>
      <c r="B195" s="10">
        <v>2016</v>
      </c>
      <c r="C195" s="9" t="s">
        <v>21</v>
      </c>
      <c r="D195" s="9" t="s">
        <v>4</v>
      </c>
      <c r="E195" s="9" t="s">
        <v>634</v>
      </c>
      <c r="F195" s="10">
        <v>80</v>
      </c>
      <c r="G195" s="9" t="s">
        <v>472</v>
      </c>
      <c r="H195" s="9">
        <f t="shared" si="16"/>
        <v>2019</v>
      </c>
      <c r="I195" s="9">
        <f t="shared" si="19"/>
        <v>3</v>
      </c>
      <c r="J195" s="11" t="s">
        <v>153</v>
      </c>
      <c r="K195" s="9" t="s">
        <v>153</v>
      </c>
      <c r="L195" s="9" t="s">
        <v>350</v>
      </c>
      <c r="M195" s="10">
        <v>3</v>
      </c>
      <c r="N195" s="35">
        <v>0</v>
      </c>
      <c r="O195" s="15" t="s">
        <v>632</v>
      </c>
      <c r="P195" s="22" t="s">
        <v>776</v>
      </c>
      <c r="Q195" s="9" t="s">
        <v>470</v>
      </c>
      <c r="R195" s="9" t="s">
        <v>153</v>
      </c>
      <c r="S195" s="14">
        <f t="shared" si="15"/>
        <v>186</v>
      </c>
      <c r="T195" s="10">
        <v>874</v>
      </c>
      <c r="U195" s="41">
        <v>0</v>
      </c>
    </row>
    <row r="196" spans="1:21" x14ac:dyDescent="0.2">
      <c r="A196" s="7" t="s">
        <v>474</v>
      </c>
      <c r="B196" s="10">
        <v>2017</v>
      </c>
      <c r="C196" s="9" t="s">
        <v>21</v>
      </c>
      <c r="D196" s="9" t="s">
        <v>4</v>
      </c>
      <c r="E196" s="9" t="s">
        <v>634</v>
      </c>
      <c r="F196" s="10">
        <v>44</v>
      </c>
      <c r="G196" s="9" t="s">
        <v>473</v>
      </c>
      <c r="H196" s="9">
        <f t="shared" si="16"/>
        <v>2019</v>
      </c>
      <c r="I196" s="9">
        <f t="shared" si="19"/>
        <v>3</v>
      </c>
      <c r="J196" s="9" t="s">
        <v>153</v>
      </c>
      <c r="K196" s="9" t="s">
        <v>153</v>
      </c>
      <c r="L196" s="9" t="s">
        <v>350</v>
      </c>
      <c r="M196" s="10">
        <v>2</v>
      </c>
      <c r="N196" s="35">
        <v>0</v>
      </c>
      <c r="O196" s="15" t="s">
        <v>632</v>
      </c>
      <c r="P196" s="22" t="s">
        <v>642</v>
      </c>
      <c r="Q196" s="9" t="s">
        <v>441</v>
      </c>
      <c r="R196" s="9" t="s">
        <v>153</v>
      </c>
      <c r="S196" s="14">
        <f t="shared" ref="S196:S235" si="20">LEN(P196)</f>
        <v>16</v>
      </c>
      <c r="T196" s="10">
        <v>110</v>
      </c>
      <c r="U196" s="41">
        <v>2</v>
      </c>
    </row>
    <row r="197" spans="1:21" x14ac:dyDescent="0.2">
      <c r="A197" s="7" t="s">
        <v>475</v>
      </c>
      <c r="B197" s="10">
        <v>2014</v>
      </c>
      <c r="C197" s="9" t="s">
        <v>21</v>
      </c>
      <c r="D197" s="9" t="s">
        <v>4</v>
      </c>
      <c r="E197" s="9" t="s">
        <v>634</v>
      </c>
      <c r="F197" s="10">
        <v>79</v>
      </c>
      <c r="G197" s="9" t="s">
        <v>476</v>
      </c>
      <c r="H197" s="9">
        <f t="shared" si="16"/>
        <v>2019</v>
      </c>
      <c r="I197" s="9">
        <f t="shared" si="19"/>
        <v>3</v>
      </c>
      <c r="J197" s="9" t="s">
        <v>153</v>
      </c>
      <c r="K197" s="9" t="s">
        <v>153</v>
      </c>
      <c r="L197" s="9" t="s">
        <v>350</v>
      </c>
      <c r="M197" s="10">
        <v>3</v>
      </c>
      <c r="N197" s="35">
        <v>0</v>
      </c>
      <c r="O197" s="15" t="s">
        <v>632</v>
      </c>
      <c r="P197" s="22" t="s">
        <v>642</v>
      </c>
      <c r="Q197" s="9" t="s">
        <v>441</v>
      </c>
      <c r="R197" s="9" t="s">
        <v>153</v>
      </c>
      <c r="S197" s="14">
        <f t="shared" si="20"/>
        <v>16</v>
      </c>
      <c r="T197" s="10">
        <v>1352</v>
      </c>
      <c r="U197" s="41">
        <v>3</v>
      </c>
    </row>
    <row r="198" spans="1:21" x14ac:dyDescent="0.2">
      <c r="A198" s="7" t="s">
        <v>478</v>
      </c>
      <c r="B198" s="10">
        <v>2017</v>
      </c>
      <c r="C198" s="9" t="s">
        <v>21</v>
      </c>
      <c r="D198" s="9" t="s">
        <v>4</v>
      </c>
      <c r="E198" s="9" t="s">
        <v>634</v>
      </c>
      <c r="F198" s="10">
        <v>348</v>
      </c>
      <c r="G198" s="9" t="s">
        <v>479</v>
      </c>
      <c r="H198" s="9">
        <f t="shared" si="16"/>
        <v>2019</v>
      </c>
      <c r="I198" s="9">
        <f t="shared" si="19"/>
        <v>7</v>
      </c>
      <c r="J198" s="9" t="s">
        <v>153</v>
      </c>
      <c r="K198" s="9" t="s">
        <v>153</v>
      </c>
      <c r="L198" s="9" t="s">
        <v>345</v>
      </c>
      <c r="M198" s="10">
        <v>2</v>
      </c>
      <c r="N198" s="35">
        <v>45</v>
      </c>
      <c r="O198" s="15" t="s">
        <v>632</v>
      </c>
      <c r="P198" s="22" t="s">
        <v>60</v>
      </c>
      <c r="Q198" s="9" t="s">
        <v>441</v>
      </c>
      <c r="R198" s="9" t="s">
        <v>153</v>
      </c>
      <c r="S198" s="14">
        <f t="shared" si="20"/>
        <v>8</v>
      </c>
      <c r="T198" s="10">
        <v>1977</v>
      </c>
      <c r="U198" s="41">
        <v>14</v>
      </c>
    </row>
    <row r="199" spans="1:21" x14ac:dyDescent="0.2">
      <c r="A199" s="7" t="s">
        <v>480</v>
      </c>
      <c r="B199" s="10">
        <v>2019</v>
      </c>
      <c r="C199" s="9" t="s">
        <v>21</v>
      </c>
      <c r="D199" s="9" t="s">
        <v>4</v>
      </c>
      <c r="E199" s="9" t="s">
        <v>634</v>
      </c>
      <c r="F199" s="10">
        <v>96</v>
      </c>
      <c r="G199" s="9" t="s">
        <v>481</v>
      </c>
      <c r="H199" s="9">
        <f t="shared" si="16"/>
        <v>2019</v>
      </c>
      <c r="I199" s="9">
        <f t="shared" si="19"/>
        <v>7</v>
      </c>
      <c r="J199" s="9" t="s">
        <v>153</v>
      </c>
      <c r="K199" s="9" t="s">
        <v>153</v>
      </c>
      <c r="L199" s="9" t="s">
        <v>482</v>
      </c>
      <c r="M199" s="10">
        <v>3</v>
      </c>
      <c r="N199" s="35">
        <v>0</v>
      </c>
      <c r="O199" s="15" t="s">
        <v>632</v>
      </c>
      <c r="P199" s="22" t="s">
        <v>777</v>
      </c>
      <c r="Q199" s="9" t="s">
        <v>441</v>
      </c>
      <c r="R199" s="9" t="s">
        <v>153</v>
      </c>
      <c r="S199" s="14">
        <f t="shared" si="20"/>
        <v>21</v>
      </c>
      <c r="T199" s="10">
        <v>482</v>
      </c>
      <c r="U199" s="41">
        <v>3</v>
      </c>
    </row>
    <row r="200" spans="1:21" x14ac:dyDescent="0.2">
      <c r="A200" s="7" t="s">
        <v>483</v>
      </c>
      <c r="B200" s="10">
        <v>2015</v>
      </c>
      <c r="C200" s="9" t="s">
        <v>21</v>
      </c>
      <c r="D200" s="9" t="s">
        <v>4</v>
      </c>
      <c r="E200" s="9" t="s">
        <v>634</v>
      </c>
      <c r="F200" s="10">
        <v>54</v>
      </c>
      <c r="G200" s="9" t="s">
        <v>484</v>
      </c>
      <c r="H200" s="9">
        <f t="shared" si="16"/>
        <v>2019</v>
      </c>
      <c r="I200" s="9">
        <f t="shared" si="19"/>
        <v>8</v>
      </c>
      <c r="J200" s="9" t="s">
        <v>153</v>
      </c>
      <c r="K200" s="9" t="s">
        <v>153</v>
      </c>
      <c r="L200" s="9" t="s">
        <v>350</v>
      </c>
      <c r="M200" s="10">
        <v>3</v>
      </c>
      <c r="N200" s="35">
        <v>0</v>
      </c>
      <c r="O200" s="15" t="s">
        <v>632</v>
      </c>
      <c r="P200" s="22" t="s">
        <v>778</v>
      </c>
      <c r="Q200" s="9" t="s">
        <v>441</v>
      </c>
      <c r="R200" s="9" t="s">
        <v>153</v>
      </c>
      <c r="S200" s="14">
        <f t="shared" si="20"/>
        <v>24</v>
      </c>
      <c r="T200" s="10">
        <v>348</v>
      </c>
      <c r="U200" s="41">
        <v>0</v>
      </c>
    </row>
    <row r="201" spans="1:21" x14ac:dyDescent="0.2">
      <c r="A201" s="7" t="s">
        <v>485</v>
      </c>
      <c r="B201" s="10">
        <v>2008</v>
      </c>
      <c r="C201" s="9" t="s">
        <v>21</v>
      </c>
      <c r="D201" s="9" t="s">
        <v>4</v>
      </c>
      <c r="E201" s="9" t="s">
        <v>634</v>
      </c>
      <c r="F201" s="10">
        <v>794</v>
      </c>
      <c r="G201" s="9" t="s">
        <v>486</v>
      </c>
      <c r="H201" s="9">
        <f t="shared" si="16"/>
        <v>2019</v>
      </c>
      <c r="I201" s="9">
        <f>MONTH(G201)</f>
        <v>8</v>
      </c>
      <c r="J201" s="9" t="s">
        <v>153</v>
      </c>
      <c r="K201" s="9" t="s">
        <v>153</v>
      </c>
      <c r="L201" s="9" t="s">
        <v>487</v>
      </c>
      <c r="M201" s="10">
        <v>3</v>
      </c>
      <c r="N201" s="35">
        <v>55</v>
      </c>
      <c r="O201" s="15" t="s">
        <v>632</v>
      </c>
      <c r="P201" s="22" t="s">
        <v>779</v>
      </c>
      <c r="Q201" s="9" t="s">
        <v>441</v>
      </c>
      <c r="R201" s="9" t="s">
        <v>153</v>
      </c>
      <c r="S201" s="14">
        <f t="shared" si="20"/>
        <v>155</v>
      </c>
      <c r="T201" s="10">
        <v>392</v>
      </c>
      <c r="U201" s="41">
        <v>3</v>
      </c>
    </row>
    <row r="202" spans="1:21" x14ac:dyDescent="0.2">
      <c r="A202" s="7" t="s">
        <v>488</v>
      </c>
      <c r="B202" s="10">
        <v>2018</v>
      </c>
      <c r="C202" s="9" t="s">
        <v>21</v>
      </c>
      <c r="D202" s="9" t="s">
        <v>4</v>
      </c>
      <c r="E202" s="9" t="s">
        <v>634</v>
      </c>
      <c r="F202" s="10">
        <v>1259</v>
      </c>
      <c r="G202" s="9" t="s">
        <v>489</v>
      </c>
      <c r="H202" s="9">
        <f t="shared" si="16"/>
        <v>2019</v>
      </c>
      <c r="I202" s="9">
        <f>MONTH(G202)</f>
        <v>9</v>
      </c>
      <c r="J202" s="9" t="s">
        <v>153</v>
      </c>
      <c r="K202" s="9" t="s">
        <v>153</v>
      </c>
      <c r="L202" s="9" t="s">
        <v>341</v>
      </c>
      <c r="M202" s="10">
        <v>2</v>
      </c>
      <c r="N202" s="35">
        <v>39.75</v>
      </c>
      <c r="O202" s="15" t="s">
        <v>632</v>
      </c>
      <c r="P202" s="22" t="s">
        <v>780</v>
      </c>
      <c r="Q202" s="9" t="s">
        <v>442</v>
      </c>
      <c r="R202" s="9" t="s">
        <v>152</v>
      </c>
      <c r="S202" s="14">
        <f t="shared" si="20"/>
        <v>297</v>
      </c>
      <c r="T202" s="10">
        <v>1715</v>
      </c>
      <c r="U202" s="41">
        <v>7</v>
      </c>
    </row>
    <row r="203" spans="1:21" x14ac:dyDescent="0.2">
      <c r="A203" s="7" t="s">
        <v>522</v>
      </c>
      <c r="B203" s="8">
        <v>2018</v>
      </c>
      <c r="C203" s="9" t="s">
        <v>21</v>
      </c>
      <c r="D203" s="9" t="s">
        <v>4</v>
      </c>
      <c r="E203" s="9" t="s">
        <v>634</v>
      </c>
      <c r="F203" s="10">
        <v>736</v>
      </c>
      <c r="G203" s="9" t="s">
        <v>523</v>
      </c>
      <c r="H203" s="9">
        <f t="shared" si="16"/>
        <v>2020</v>
      </c>
      <c r="I203" s="9">
        <f t="shared" ref="I203:I226" si="21">MONTH(G203)</f>
        <v>4</v>
      </c>
      <c r="J203" s="9" t="s">
        <v>153</v>
      </c>
      <c r="K203" s="9" t="s">
        <v>153</v>
      </c>
      <c r="L203" s="9" t="s">
        <v>341</v>
      </c>
      <c r="M203" s="10">
        <v>1</v>
      </c>
      <c r="N203" s="35">
        <v>44.99</v>
      </c>
      <c r="O203" s="15" t="s">
        <v>632</v>
      </c>
      <c r="P203" s="22" t="s">
        <v>781</v>
      </c>
      <c r="Q203" s="9" t="s">
        <v>452</v>
      </c>
      <c r="R203" s="9" t="s">
        <v>152</v>
      </c>
      <c r="S203" s="14">
        <f t="shared" si="20"/>
        <v>254</v>
      </c>
      <c r="T203" s="10">
        <v>316</v>
      </c>
      <c r="U203" s="41">
        <v>0</v>
      </c>
    </row>
    <row r="204" spans="1:21" x14ac:dyDescent="0.2">
      <c r="A204" s="7" t="s">
        <v>524</v>
      </c>
      <c r="B204" s="10">
        <v>2019</v>
      </c>
      <c r="C204" s="9" t="s">
        <v>21</v>
      </c>
      <c r="D204" s="9" t="s">
        <v>4</v>
      </c>
      <c r="E204" s="9" t="s">
        <v>634</v>
      </c>
      <c r="F204" s="10">
        <v>98</v>
      </c>
      <c r="G204" s="9" t="s">
        <v>525</v>
      </c>
      <c r="H204" s="9">
        <f t="shared" si="16"/>
        <v>2020</v>
      </c>
      <c r="I204" s="9">
        <f t="shared" si="21"/>
        <v>4</v>
      </c>
      <c r="J204" s="9" t="s">
        <v>153</v>
      </c>
      <c r="K204" s="9" t="s">
        <v>153</v>
      </c>
      <c r="L204" s="9" t="s">
        <v>348</v>
      </c>
      <c r="M204" s="10">
        <v>1</v>
      </c>
      <c r="N204" s="35">
        <v>21.3</v>
      </c>
      <c r="O204" s="15" t="s">
        <v>632</v>
      </c>
      <c r="P204" s="22" t="s">
        <v>782</v>
      </c>
      <c r="Q204" s="9" t="s">
        <v>452</v>
      </c>
      <c r="R204" s="9" t="s">
        <v>153</v>
      </c>
      <c r="S204" s="14">
        <f t="shared" si="20"/>
        <v>280</v>
      </c>
      <c r="T204" s="10">
        <v>43</v>
      </c>
      <c r="U204" s="41">
        <v>1</v>
      </c>
    </row>
    <row r="205" spans="1:21" x14ac:dyDescent="0.2">
      <c r="A205" s="7" t="s">
        <v>526</v>
      </c>
      <c r="B205" s="10">
        <v>2019</v>
      </c>
      <c r="C205" s="9" t="s">
        <v>21</v>
      </c>
      <c r="D205" s="9" t="s">
        <v>4</v>
      </c>
      <c r="E205" s="9" t="s">
        <v>634</v>
      </c>
      <c r="F205" s="10">
        <v>709</v>
      </c>
      <c r="G205" s="9" t="s">
        <v>527</v>
      </c>
      <c r="H205" s="9">
        <f t="shared" si="16"/>
        <v>2020</v>
      </c>
      <c r="I205" s="9">
        <f t="shared" si="21"/>
        <v>4</v>
      </c>
      <c r="J205" s="9" t="s">
        <v>153</v>
      </c>
      <c r="K205" s="9" t="s">
        <v>153</v>
      </c>
      <c r="L205" s="9" t="s">
        <v>341</v>
      </c>
      <c r="M205" s="10">
        <v>1</v>
      </c>
      <c r="N205" s="35">
        <v>39.99</v>
      </c>
      <c r="O205" s="15" t="s">
        <v>632</v>
      </c>
      <c r="P205" s="22" t="s">
        <v>783</v>
      </c>
      <c r="Q205" s="9" t="s">
        <v>452</v>
      </c>
      <c r="R205" s="9" t="s">
        <v>152</v>
      </c>
      <c r="S205" s="14">
        <f t="shared" si="20"/>
        <v>232</v>
      </c>
      <c r="T205" s="10">
        <v>133</v>
      </c>
      <c r="U205" s="41">
        <v>0</v>
      </c>
    </row>
    <row r="206" spans="1:21" x14ac:dyDescent="0.2">
      <c r="A206" s="7" t="s">
        <v>529</v>
      </c>
      <c r="B206" s="10">
        <v>2016</v>
      </c>
      <c r="C206" s="9" t="s">
        <v>21</v>
      </c>
      <c r="D206" s="9" t="s">
        <v>4</v>
      </c>
      <c r="E206" s="9" t="s">
        <v>634</v>
      </c>
      <c r="F206" s="10">
        <v>44</v>
      </c>
      <c r="G206" s="9" t="s">
        <v>528</v>
      </c>
      <c r="H206" s="9">
        <f t="shared" si="16"/>
        <v>2020</v>
      </c>
      <c r="I206" s="9">
        <f t="shared" si="21"/>
        <v>4</v>
      </c>
      <c r="J206" s="9" t="s">
        <v>153</v>
      </c>
      <c r="K206" s="9" t="s">
        <v>153</v>
      </c>
      <c r="L206" s="9" t="s">
        <v>350</v>
      </c>
      <c r="M206" s="10">
        <v>3</v>
      </c>
      <c r="N206" s="35">
        <v>0</v>
      </c>
      <c r="O206" s="15" t="s">
        <v>632</v>
      </c>
      <c r="P206" s="22" t="s">
        <v>642</v>
      </c>
      <c r="Q206" s="9" t="s">
        <v>441</v>
      </c>
      <c r="R206" s="9" t="s">
        <v>153</v>
      </c>
      <c r="S206" s="14">
        <f t="shared" si="20"/>
        <v>16</v>
      </c>
      <c r="T206" s="10">
        <v>338</v>
      </c>
      <c r="U206" s="41">
        <v>2</v>
      </c>
    </row>
    <row r="207" spans="1:21" x14ac:dyDescent="0.2">
      <c r="A207" s="7" t="s">
        <v>530</v>
      </c>
      <c r="B207" s="10">
        <v>2020</v>
      </c>
      <c r="C207" s="9" t="s">
        <v>21</v>
      </c>
      <c r="D207" s="9" t="s">
        <v>4</v>
      </c>
      <c r="E207" s="9" t="s">
        <v>634</v>
      </c>
      <c r="F207" s="10">
        <v>294</v>
      </c>
      <c r="G207" s="9" t="s">
        <v>531</v>
      </c>
      <c r="H207" s="9">
        <f t="shared" si="16"/>
        <v>2020</v>
      </c>
      <c r="I207" s="9">
        <f t="shared" si="21"/>
        <v>4</v>
      </c>
      <c r="J207" s="9" t="s">
        <v>153</v>
      </c>
      <c r="K207" s="9" t="s">
        <v>153</v>
      </c>
      <c r="L207" s="9" t="s">
        <v>348</v>
      </c>
      <c r="M207" s="10">
        <v>3</v>
      </c>
      <c r="N207" s="35">
        <v>26.16</v>
      </c>
      <c r="O207" s="15" t="s">
        <v>632</v>
      </c>
      <c r="P207" s="22" t="s">
        <v>642</v>
      </c>
      <c r="Q207" s="9" t="s">
        <v>839</v>
      </c>
      <c r="R207" s="9" t="s">
        <v>153</v>
      </c>
      <c r="S207" s="14">
        <f t="shared" si="20"/>
        <v>16</v>
      </c>
      <c r="T207" s="10">
        <v>435</v>
      </c>
      <c r="U207" s="41">
        <v>0</v>
      </c>
    </row>
    <row r="208" spans="1:21" x14ac:dyDescent="0.2">
      <c r="A208" s="7" t="s">
        <v>532</v>
      </c>
      <c r="B208" s="10">
        <v>2012</v>
      </c>
      <c r="C208" s="9" t="s">
        <v>21</v>
      </c>
      <c r="D208" s="9" t="s">
        <v>4</v>
      </c>
      <c r="E208" s="9" t="s">
        <v>634</v>
      </c>
      <c r="F208" s="10">
        <v>28</v>
      </c>
      <c r="G208" s="9" t="s">
        <v>531</v>
      </c>
      <c r="H208" s="9">
        <f t="shared" si="16"/>
        <v>2020</v>
      </c>
      <c r="I208" s="9">
        <f t="shared" si="21"/>
        <v>4</v>
      </c>
      <c r="J208" s="9" t="s">
        <v>153</v>
      </c>
      <c r="K208" s="9" t="s">
        <v>153</v>
      </c>
      <c r="L208" s="9" t="s">
        <v>350</v>
      </c>
      <c r="M208" s="10">
        <v>3</v>
      </c>
      <c r="N208" s="35">
        <v>0</v>
      </c>
      <c r="O208" s="15" t="s">
        <v>632</v>
      </c>
      <c r="P208" s="22" t="s">
        <v>642</v>
      </c>
      <c r="Q208" s="9" t="s">
        <v>839</v>
      </c>
      <c r="R208" s="9" t="s">
        <v>153</v>
      </c>
      <c r="S208" s="14">
        <f t="shared" si="20"/>
        <v>16</v>
      </c>
      <c r="T208" s="10">
        <v>156</v>
      </c>
      <c r="U208" s="41">
        <v>1</v>
      </c>
    </row>
    <row r="209" spans="1:21" x14ac:dyDescent="0.2">
      <c r="A209" s="7" t="s">
        <v>533</v>
      </c>
      <c r="B209" s="10">
        <v>2017</v>
      </c>
      <c r="C209" s="9" t="s">
        <v>21</v>
      </c>
      <c r="D209" s="9" t="s">
        <v>4</v>
      </c>
      <c r="E209" s="9" t="s">
        <v>634</v>
      </c>
      <c r="F209" s="10">
        <v>49</v>
      </c>
      <c r="G209" s="9" t="s">
        <v>531</v>
      </c>
      <c r="H209" s="9">
        <f t="shared" si="16"/>
        <v>2020</v>
      </c>
      <c r="I209" s="9">
        <f t="shared" si="21"/>
        <v>4</v>
      </c>
      <c r="J209" s="9" t="s">
        <v>153</v>
      </c>
      <c r="K209" s="9" t="s">
        <v>153</v>
      </c>
      <c r="L209" s="9" t="s">
        <v>350</v>
      </c>
      <c r="M209" s="10">
        <v>3</v>
      </c>
      <c r="N209" s="35">
        <v>0</v>
      </c>
      <c r="O209" s="15" t="s">
        <v>632</v>
      </c>
      <c r="P209" s="22" t="s">
        <v>642</v>
      </c>
      <c r="Q209" s="9" t="s">
        <v>441</v>
      </c>
      <c r="R209" s="9" t="s">
        <v>153</v>
      </c>
      <c r="S209" s="14">
        <f t="shared" si="20"/>
        <v>16</v>
      </c>
      <c r="T209" s="10">
        <v>27</v>
      </c>
      <c r="U209" s="41">
        <v>0</v>
      </c>
    </row>
    <row r="210" spans="1:21" x14ac:dyDescent="0.2">
      <c r="A210" s="7" t="s">
        <v>534</v>
      </c>
      <c r="B210" s="10">
        <v>2019</v>
      </c>
      <c r="C210" s="9" t="s">
        <v>21</v>
      </c>
      <c r="D210" s="9" t="s">
        <v>4</v>
      </c>
      <c r="E210" s="9" t="s">
        <v>634</v>
      </c>
      <c r="F210" s="10">
        <v>164</v>
      </c>
      <c r="G210" s="9" t="s">
        <v>535</v>
      </c>
      <c r="H210" s="9">
        <f t="shared" si="16"/>
        <v>2020</v>
      </c>
      <c r="I210" s="9">
        <f t="shared" si="21"/>
        <v>4</v>
      </c>
      <c r="J210" s="9" t="s">
        <v>153</v>
      </c>
      <c r="K210" s="9" t="s">
        <v>153</v>
      </c>
      <c r="L210" s="9" t="s">
        <v>536</v>
      </c>
      <c r="M210" s="10">
        <v>2</v>
      </c>
      <c r="N210" s="35">
        <v>15</v>
      </c>
      <c r="O210" s="15" t="s">
        <v>632</v>
      </c>
      <c r="P210" s="22" t="s">
        <v>784</v>
      </c>
      <c r="Q210" s="9" t="s">
        <v>538</v>
      </c>
      <c r="R210" s="9" t="s">
        <v>153</v>
      </c>
      <c r="S210" s="14">
        <f t="shared" si="20"/>
        <v>215</v>
      </c>
      <c r="T210" s="10">
        <v>167</v>
      </c>
      <c r="U210" s="41">
        <v>0</v>
      </c>
    </row>
    <row r="211" spans="1:21" x14ac:dyDescent="0.2">
      <c r="A211" s="7" t="s">
        <v>537</v>
      </c>
      <c r="B211" s="10">
        <v>2017</v>
      </c>
      <c r="C211" s="9" t="s">
        <v>21</v>
      </c>
      <c r="D211" s="9" t="s">
        <v>4</v>
      </c>
      <c r="E211" s="9" t="s">
        <v>634</v>
      </c>
      <c r="F211" s="10">
        <v>104</v>
      </c>
      <c r="G211" s="9" t="s">
        <v>535</v>
      </c>
      <c r="H211" s="9">
        <f t="shared" si="16"/>
        <v>2020</v>
      </c>
      <c r="I211" s="9">
        <f t="shared" si="21"/>
        <v>4</v>
      </c>
      <c r="J211" s="9" t="s">
        <v>153</v>
      </c>
      <c r="K211" s="9" t="s">
        <v>153</v>
      </c>
      <c r="L211" s="9" t="s">
        <v>350</v>
      </c>
      <c r="M211" s="10">
        <v>3</v>
      </c>
      <c r="N211" s="35">
        <v>0</v>
      </c>
      <c r="O211" s="15" t="s">
        <v>632</v>
      </c>
      <c r="P211" s="22" t="s">
        <v>642</v>
      </c>
      <c r="Q211" s="9" t="s">
        <v>441</v>
      </c>
      <c r="R211" s="9" t="s">
        <v>153</v>
      </c>
      <c r="S211" s="14">
        <f t="shared" si="20"/>
        <v>16</v>
      </c>
      <c r="T211" s="10">
        <v>152</v>
      </c>
      <c r="U211" s="41">
        <v>2</v>
      </c>
    </row>
    <row r="212" spans="1:21" x14ac:dyDescent="0.2">
      <c r="A212" s="7" t="s">
        <v>542</v>
      </c>
      <c r="B212" s="10">
        <v>1996</v>
      </c>
      <c r="C212" s="9" t="s">
        <v>21</v>
      </c>
      <c r="D212" s="9" t="s">
        <v>4</v>
      </c>
      <c r="E212" s="9" t="s">
        <v>634</v>
      </c>
      <c r="F212" s="10">
        <v>883</v>
      </c>
      <c r="G212" s="9" t="s">
        <v>543</v>
      </c>
      <c r="H212" s="9">
        <f t="shared" si="16"/>
        <v>2020</v>
      </c>
      <c r="I212" s="9">
        <f t="shared" si="21"/>
        <v>10</v>
      </c>
      <c r="J212" s="9" t="s">
        <v>153</v>
      </c>
      <c r="K212" s="9" t="s">
        <v>153</v>
      </c>
      <c r="L212" s="9" t="s">
        <v>544</v>
      </c>
      <c r="M212" s="10">
        <v>2</v>
      </c>
      <c r="N212" s="35">
        <v>52</v>
      </c>
      <c r="O212" s="15" t="s">
        <v>632</v>
      </c>
      <c r="P212" s="22" t="s">
        <v>785</v>
      </c>
      <c r="Q212" s="9" t="s">
        <v>442</v>
      </c>
      <c r="R212" s="9" t="s">
        <v>153</v>
      </c>
      <c r="S212" s="14">
        <f t="shared" si="20"/>
        <v>254</v>
      </c>
      <c r="T212" s="10">
        <v>259</v>
      </c>
      <c r="U212" s="41">
        <v>2</v>
      </c>
    </row>
    <row r="213" spans="1:21" x14ac:dyDescent="0.2">
      <c r="A213" s="7" t="s">
        <v>545</v>
      </c>
      <c r="B213" s="10">
        <v>2018</v>
      </c>
      <c r="C213" s="9" t="s">
        <v>21</v>
      </c>
      <c r="D213" s="9" t="s">
        <v>4</v>
      </c>
      <c r="E213" s="9" t="s">
        <v>634</v>
      </c>
      <c r="F213" s="10">
        <v>71</v>
      </c>
      <c r="G213" s="9" t="s">
        <v>557</v>
      </c>
      <c r="H213" s="9">
        <f t="shared" si="16"/>
        <v>2020</v>
      </c>
      <c r="I213" s="9">
        <f t="shared" si="21"/>
        <v>10</v>
      </c>
      <c r="J213" s="9" t="s">
        <v>153</v>
      </c>
      <c r="K213" s="9" t="s">
        <v>153</v>
      </c>
      <c r="L213" s="9" t="s">
        <v>350</v>
      </c>
      <c r="M213" s="10">
        <v>3</v>
      </c>
      <c r="N213" s="35">
        <v>0</v>
      </c>
      <c r="O213" s="15" t="s">
        <v>632</v>
      </c>
      <c r="P213" s="22" t="s">
        <v>786</v>
      </c>
      <c r="Q213" s="9" t="s">
        <v>441</v>
      </c>
      <c r="R213" s="9" t="s">
        <v>153</v>
      </c>
      <c r="S213" s="14">
        <f t="shared" si="20"/>
        <v>17</v>
      </c>
      <c r="T213" s="10">
        <v>68</v>
      </c>
      <c r="U213" s="41">
        <v>0</v>
      </c>
    </row>
    <row r="214" spans="1:21" x14ac:dyDescent="0.2">
      <c r="A214" s="7" t="s">
        <v>546</v>
      </c>
      <c r="B214" s="10">
        <v>2017</v>
      </c>
      <c r="C214" s="9" t="s">
        <v>21</v>
      </c>
      <c r="D214" s="9" t="s">
        <v>4</v>
      </c>
      <c r="E214" s="9" t="s">
        <v>634</v>
      </c>
      <c r="F214" s="10">
        <v>160</v>
      </c>
      <c r="G214" s="9" t="s">
        <v>558</v>
      </c>
      <c r="H214" s="9">
        <f t="shared" si="16"/>
        <v>2020</v>
      </c>
      <c r="I214" s="9">
        <f t="shared" si="21"/>
        <v>10</v>
      </c>
      <c r="J214" s="9" t="s">
        <v>153</v>
      </c>
      <c r="K214" s="9" t="s">
        <v>153</v>
      </c>
      <c r="L214" s="9" t="s">
        <v>570</v>
      </c>
      <c r="M214" s="10">
        <v>1</v>
      </c>
      <c r="N214" s="35">
        <v>13.59</v>
      </c>
      <c r="O214" s="15" t="s">
        <v>632</v>
      </c>
      <c r="P214" s="22" t="s">
        <v>787</v>
      </c>
      <c r="Q214" s="9" t="s">
        <v>1187</v>
      </c>
      <c r="R214" s="9" t="s">
        <v>153</v>
      </c>
      <c r="S214" s="14">
        <f t="shared" si="20"/>
        <v>352</v>
      </c>
      <c r="T214" s="10">
        <v>165</v>
      </c>
      <c r="U214" s="41">
        <v>2</v>
      </c>
    </row>
    <row r="215" spans="1:21" x14ac:dyDescent="0.2">
      <c r="A215" s="7" t="s">
        <v>547</v>
      </c>
      <c r="B215" s="10">
        <v>2009</v>
      </c>
      <c r="C215" s="9" t="s">
        <v>21</v>
      </c>
      <c r="D215" s="9" t="s">
        <v>4</v>
      </c>
      <c r="E215" s="9" t="s">
        <v>634</v>
      </c>
      <c r="F215" s="10">
        <v>569</v>
      </c>
      <c r="G215" s="9" t="s">
        <v>559</v>
      </c>
      <c r="H215" s="9">
        <f t="shared" si="16"/>
        <v>2020</v>
      </c>
      <c r="I215" s="9">
        <f t="shared" si="21"/>
        <v>10</v>
      </c>
      <c r="J215" s="9" t="s">
        <v>152</v>
      </c>
      <c r="K215" s="9" t="s">
        <v>153</v>
      </c>
      <c r="L215" s="9" t="s">
        <v>349</v>
      </c>
      <c r="M215" s="10">
        <v>3</v>
      </c>
      <c r="N215" s="35">
        <v>27.1</v>
      </c>
      <c r="O215" s="15" t="s">
        <v>632</v>
      </c>
      <c r="P215" s="22" t="s">
        <v>788</v>
      </c>
      <c r="Q215" s="9" t="s">
        <v>1199</v>
      </c>
      <c r="R215" s="9" t="s">
        <v>153</v>
      </c>
      <c r="S215" s="14">
        <f t="shared" si="20"/>
        <v>277</v>
      </c>
      <c r="T215" s="10">
        <v>128</v>
      </c>
      <c r="U215" s="41">
        <v>0</v>
      </c>
    </row>
    <row r="216" spans="1:21" x14ac:dyDescent="0.2">
      <c r="A216" s="7" t="s">
        <v>548</v>
      </c>
      <c r="B216" s="10">
        <v>2019</v>
      </c>
      <c r="C216" s="9" t="s">
        <v>21</v>
      </c>
      <c r="D216" s="9" t="s">
        <v>4</v>
      </c>
      <c r="E216" s="9" t="s">
        <v>634</v>
      </c>
      <c r="F216" s="10">
        <v>179</v>
      </c>
      <c r="G216" s="9" t="s">
        <v>560</v>
      </c>
      <c r="H216" s="9">
        <f t="shared" si="16"/>
        <v>2020</v>
      </c>
      <c r="I216" s="9">
        <f t="shared" si="21"/>
        <v>10</v>
      </c>
      <c r="J216" s="9" t="s">
        <v>153</v>
      </c>
      <c r="K216" s="9" t="s">
        <v>153</v>
      </c>
      <c r="L216" s="9" t="s">
        <v>567</v>
      </c>
      <c r="M216" s="10">
        <v>2</v>
      </c>
      <c r="N216" s="35">
        <v>23.21</v>
      </c>
      <c r="O216" s="15" t="s">
        <v>632</v>
      </c>
      <c r="P216" s="22" t="s">
        <v>789</v>
      </c>
      <c r="Q216" s="9" t="s">
        <v>1199</v>
      </c>
      <c r="R216" s="9" t="s">
        <v>153</v>
      </c>
      <c r="S216" s="14">
        <f t="shared" si="20"/>
        <v>57</v>
      </c>
      <c r="T216" s="10">
        <v>158</v>
      </c>
      <c r="U216" s="14">
        <v>0</v>
      </c>
    </row>
    <row r="217" spans="1:21" x14ac:dyDescent="0.2">
      <c r="A217" s="7" t="s">
        <v>549</v>
      </c>
      <c r="B217" s="10">
        <v>2003</v>
      </c>
      <c r="C217" s="9" t="s">
        <v>21</v>
      </c>
      <c r="D217" s="9" t="s">
        <v>4</v>
      </c>
      <c r="E217" s="9" t="s">
        <v>634</v>
      </c>
      <c r="F217" s="10">
        <v>799</v>
      </c>
      <c r="G217" s="9" t="s">
        <v>561</v>
      </c>
      <c r="H217" s="9">
        <f t="shared" si="16"/>
        <v>2020</v>
      </c>
      <c r="I217" s="9">
        <f t="shared" si="21"/>
        <v>11</v>
      </c>
      <c r="J217" s="9" t="s">
        <v>153</v>
      </c>
      <c r="K217" s="9" t="s">
        <v>153</v>
      </c>
      <c r="L217" s="9" t="s">
        <v>342</v>
      </c>
      <c r="M217" s="10">
        <v>3</v>
      </c>
      <c r="N217" s="35">
        <v>47</v>
      </c>
      <c r="O217" s="15" t="s">
        <v>632</v>
      </c>
      <c r="P217" s="22" t="s">
        <v>790</v>
      </c>
      <c r="Q217" s="9" t="s">
        <v>441</v>
      </c>
      <c r="R217" s="9" t="s">
        <v>153</v>
      </c>
      <c r="S217" s="14">
        <f t="shared" si="20"/>
        <v>149</v>
      </c>
      <c r="T217" s="10">
        <v>512</v>
      </c>
      <c r="U217" s="14">
        <v>4</v>
      </c>
    </row>
    <row r="218" spans="1:21" x14ac:dyDescent="0.2">
      <c r="A218" s="7" t="s">
        <v>550</v>
      </c>
      <c r="B218" s="10">
        <v>2007</v>
      </c>
      <c r="C218" s="9" t="s">
        <v>21</v>
      </c>
      <c r="D218" s="9" t="s">
        <v>4</v>
      </c>
      <c r="E218" s="9" t="s">
        <v>634</v>
      </c>
      <c r="F218" s="10">
        <v>86</v>
      </c>
      <c r="G218" s="9" t="s">
        <v>562</v>
      </c>
      <c r="H218" s="9">
        <f t="shared" si="16"/>
        <v>2020</v>
      </c>
      <c r="I218" s="9">
        <f t="shared" si="21"/>
        <v>11</v>
      </c>
      <c r="J218" s="9" t="s">
        <v>153</v>
      </c>
      <c r="K218" s="9" t="s">
        <v>153</v>
      </c>
      <c r="L218" s="9" t="s">
        <v>568</v>
      </c>
      <c r="M218" s="10">
        <v>2</v>
      </c>
      <c r="N218" s="35">
        <v>12.67</v>
      </c>
      <c r="O218" s="15" t="s">
        <v>632</v>
      </c>
      <c r="P218" s="22" t="s">
        <v>791</v>
      </c>
      <c r="Q218" s="9" t="s">
        <v>1187</v>
      </c>
      <c r="R218" s="9" t="s">
        <v>153</v>
      </c>
      <c r="S218" s="14">
        <f t="shared" si="20"/>
        <v>195</v>
      </c>
      <c r="T218" s="10">
        <v>102</v>
      </c>
      <c r="U218" s="14">
        <v>2</v>
      </c>
    </row>
    <row r="219" spans="1:21" x14ac:dyDescent="0.2">
      <c r="A219" s="7" t="s">
        <v>551</v>
      </c>
      <c r="B219" s="10">
        <v>2015</v>
      </c>
      <c r="C219" s="9" t="s">
        <v>21</v>
      </c>
      <c r="D219" s="9" t="s">
        <v>4</v>
      </c>
      <c r="E219" s="9" t="s">
        <v>634</v>
      </c>
      <c r="F219" s="10">
        <v>154</v>
      </c>
      <c r="G219" s="9" t="s">
        <v>562</v>
      </c>
      <c r="H219" s="9">
        <f t="shared" si="16"/>
        <v>2020</v>
      </c>
      <c r="I219" s="9">
        <f t="shared" si="21"/>
        <v>11</v>
      </c>
      <c r="J219" s="9" t="s">
        <v>153</v>
      </c>
      <c r="K219" s="9" t="s">
        <v>153</v>
      </c>
      <c r="L219" s="9" t="s">
        <v>348</v>
      </c>
      <c r="M219" s="10">
        <v>3</v>
      </c>
      <c r="N219" s="35">
        <v>32.86</v>
      </c>
      <c r="O219" s="15" t="s">
        <v>632</v>
      </c>
      <c r="P219" s="22" t="s">
        <v>792</v>
      </c>
      <c r="Q219" s="9" t="s">
        <v>923</v>
      </c>
      <c r="R219" s="9" t="s">
        <v>153</v>
      </c>
      <c r="S219" s="14">
        <f t="shared" si="20"/>
        <v>83</v>
      </c>
      <c r="T219" s="10">
        <v>195</v>
      </c>
      <c r="U219" s="14">
        <v>2</v>
      </c>
    </row>
    <row r="220" spans="1:21" x14ac:dyDescent="0.2">
      <c r="A220" s="7" t="s">
        <v>552</v>
      </c>
      <c r="B220" s="10">
        <v>2015</v>
      </c>
      <c r="C220" s="9" t="s">
        <v>21</v>
      </c>
      <c r="D220" s="9" t="s">
        <v>4</v>
      </c>
      <c r="E220" s="9" t="s">
        <v>634</v>
      </c>
      <c r="F220" s="10">
        <v>223</v>
      </c>
      <c r="G220" s="9" t="s">
        <v>563</v>
      </c>
      <c r="H220" s="9">
        <f t="shared" si="16"/>
        <v>2020</v>
      </c>
      <c r="I220" s="9">
        <f t="shared" si="21"/>
        <v>11</v>
      </c>
      <c r="J220" s="9" t="s">
        <v>153</v>
      </c>
      <c r="K220" s="9" t="s">
        <v>153</v>
      </c>
      <c r="L220" s="9" t="s">
        <v>348</v>
      </c>
      <c r="M220" s="10">
        <v>3</v>
      </c>
      <c r="N220" s="35">
        <v>59</v>
      </c>
      <c r="O220" s="15" t="s">
        <v>632</v>
      </c>
      <c r="P220" s="22" t="s">
        <v>793</v>
      </c>
      <c r="Q220" s="9" t="s">
        <v>442</v>
      </c>
      <c r="R220" s="9" t="s">
        <v>153</v>
      </c>
      <c r="S220" s="14">
        <f t="shared" si="20"/>
        <v>86</v>
      </c>
      <c r="T220" s="10">
        <v>36</v>
      </c>
      <c r="U220" s="14">
        <v>1</v>
      </c>
    </row>
    <row r="221" spans="1:21" x14ac:dyDescent="0.2">
      <c r="A221" s="7" t="s">
        <v>553</v>
      </c>
      <c r="B221" s="10">
        <v>2012</v>
      </c>
      <c r="C221" s="9" t="s">
        <v>21</v>
      </c>
      <c r="D221" s="9" t="s">
        <v>4</v>
      </c>
      <c r="E221" s="9" t="s">
        <v>634</v>
      </c>
      <c r="F221" s="10">
        <v>270</v>
      </c>
      <c r="G221" s="9" t="s">
        <v>564</v>
      </c>
      <c r="H221" s="9">
        <f t="shared" si="16"/>
        <v>2020</v>
      </c>
      <c r="I221" s="9">
        <f t="shared" si="21"/>
        <v>11</v>
      </c>
      <c r="J221" s="9" t="s">
        <v>153</v>
      </c>
      <c r="K221" s="9" t="s">
        <v>153</v>
      </c>
      <c r="L221" s="9" t="s">
        <v>569</v>
      </c>
      <c r="M221" s="10">
        <v>2</v>
      </c>
      <c r="N221" s="35">
        <v>14.99</v>
      </c>
      <c r="O221" s="15" t="s">
        <v>632</v>
      </c>
      <c r="P221" s="22" t="s">
        <v>794</v>
      </c>
      <c r="Q221" s="9" t="s">
        <v>1187</v>
      </c>
      <c r="R221" s="9" t="s">
        <v>153</v>
      </c>
      <c r="S221" s="14">
        <f t="shared" si="20"/>
        <v>174</v>
      </c>
      <c r="T221" s="10">
        <v>260</v>
      </c>
      <c r="U221" s="14">
        <v>2</v>
      </c>
    </row>
    <row r="222" spans="1:21" x14ac:dyDescent="0.2">
      <c r="A222" s="7" t="s">
        <v>554</v>
      </c>
      <c r="B222" s="10">
        <v>2014</v>
      </c>
      <c r="C222" s="9" t="s">
        <v>21</v>
      </c>
      <c r="D222" s="9" t="s">
        <v>4</v>
      </c>
      <c r="E222" s="9" t="s">
        <v>634</v>
      </c>
      <c r="F222" s="14">
        <v>184</v>
      </c>
      <c r="G222" s="9" t="s">
        <v>565</v>
      </c>
      <c r="H222" s="9">
        <f t="shared" si="16"/>
        <v>2020</v>
      </c>
      <c r="I222" s="9">
        <f t="shared" si="21"/>
        <v>11</v>
      </c>
      <c r="J222" s="9" t="s">
        <v>153</v>
      </c>
      <c r="K222" s="9" t="s">
        <v>153</v>
      </c>
      <c r="L222" s="9" t="s">
        <v>421</v>
      </c>
      <c r="M222" s="14">
        <v>3</v>
      </c>
      <c r="N222" s="35">
        <v>30.9</v>
      </c>
      <c r="O222" s="15" t="s">
        <v>632</v>
      </c>
      <c r="P222" s="22" t="s">
        <v>642</v>
      </c>
      <c r="Q222" s="9" t="s">
        <v>1187</v>
      </c>
      <c r="R222" s="9" t="s">
        <v>153</v>
      </c>
      <c r="S222" s="14">
        <f t="shared" si="20"/>
        <v>16</v>
      </c>
      <c r="T222" s="10">
        <v>212</v>
      </c>
      <c r="U222" s="14">
        <v>4</v>
      </c>
    </row>
    <row r="223" spans="1:21" x14ac:dyDescent="0.2">
      <c r="A223" s="7" t="s">
        <v>556</v>
      </c>
      <c r="B223" s="10">
        <v>2018</v>
      </c>
      <c r="C223" s="9" t="s">
        <v>21</v>
      </c>
      <c r="D223" s="9" t="s">
        <v>4</v>
      </c>
      <c r="E223" s="9" t="s">
        <v>634</v>
      </c>
      <c r="F223" s="14">
        <v>435</v>
      </c>
      <c r="G223" s="9" t="s">
        <v>566</v>
      </c>
      <c r="H223" s="9">
        <f t="shared" si="16"/>
        <v>2020</v>
      </c>
      <c r="I223" s="9">
        <f t="shared" si="21"/>
        <v>12</v>
      </c>
      <c r="J223" s="9" t="s">
        <v>152</v>
      </c>
      <c r="K223" s="9" t="s">
        <v>152</v>
      </c>
      <c r="L223" s="9" t="s">
        <v>345</v>
      </c>
      <c r="M223" s="14">
        <v>5</v>
      </c>
      <c r="N223" s="35">
        <v>38</v>
      </c>
      <c r="O223" s="15" t="s">
        <v>632</v>
      </c>
      <c r="P223" s="22" t="s">
        <v>795</v>
      </c>
      <c r="Q223" s="9" t="s">
        <v>441</v>
      </c>
      <c r="R223" s="9" t="s">
        <v>153</v>
      </c>
      <c r="S223" s="14">
        <f t="shared" si="20"/>
        <v>77</v>
      </c>
      <c r="T223" s="10">
        <v>1247</v>
      </c>
      <c r="U223" s="14">
        <v>13</v>
      </c>
    </row>
    <row r="224" spans="1:21" x14ac:dyDescent="0.2">
      <c r="A224" s="7" t="s">
        <v>577</v>
      </c>
      <c r="B224" s="10">
        <v>2016</v>
      </c>
      <c r="C224" s="9" t="s">
        <v>21</v>
      </c>
      <c r="D224" s="9" t="s">
        <v>4</v>
      </c>
      <c r="E224" s="9" t="s">
        <v>634</v>
      </c>
      <c r="F224" s="14">
        <v>18</v>
      </c>
      <c r="G224" s="9" t="s">
        <v>578</v>
      </c>
      <c r="H224" s="9">
        <f t="shared" si="16"/>
        <v>2021</v>
      </c>
      <c r="I224" s="9">
        <f t="shared" si="21"/>
        <v>2</v>
      </c>
      <c r="J224" s="9" t="s">
        <v>153</v>
      </c>
      <c r="K224" s="9" t="s">
        <v>153</v>
      </c>
      <c r="L224" s="9" t="s">
        <v>570</v>
      </c>
      <c r="M224" s="14">
        <v>1</v>
      </c>
      <c r="N224" s="35">
        <v>0</v>
      </c>
      <c r="O224" s="15" t="s">
        <v>632</v>
      </c>
      <c r="P224" s="37" t="s">
        <v>60</v>
      </c>
      <c r="Q224" s="9" t="s">
        <v>839</v>
      </c>
      <c r="R224" s="9" t="s">
        <v>153</v>
      </c>
      <c r="S224" s="14">
        <f t="shared" si="20"/>
        <v>8</v>
      </c>
      <c r="T224" s="10">
        <v>23</v>
      </c>
      <c r="U224" s="14">
        <v>0</v>
      </c>
    </row>
    <row r="225" spans="1:21" x14ac:dyDescent="0.2">
      <c r="A225" s="7" t="s">
        <v>579</v>
      </c>
      <c r="B225" s="10">
        <v>2019</v>
      </c>
      <c r="C225" s="9" t="s">
        <v>21</v>
      </c>
      <c r="D225" s="9" t="s">
        <v>4</v>
      </c>
      <c r="E225" s="9" t="s">
        <v>634</v>
      </c>
      <c r="F225" s="14">
        <v>38</v>
      </c>
      <c r="G225" s="9" t="s">
        <v>578</v>
      </c>
      <c r="H225" s="9">
        <f t="shared" si="16"/>
        <v>2021</v>
      </c>
      <c r="I225" s="9">
        <f t="shared" si="21"/>
        <v>2</v>
      </c>
      <c r="J225" s="9" t="s">
        <v>153</v>
      </c>
      <c r="K225" s="9" t="s">
        <v>153</v>
      </c>
      <c r="L225" s="9" t="s">
        <v>350</v>
      </c>
      <c r="M225" s="14">
        <v>3</v>
      </c>
      <c r="N225" s="35">
        <v>0</v>
      </c>
      <c r="O225" s="15" t="s">
        <v>632</v>
      </c>
      <c r="P225" s="22" t="s">
        <v>796</v>
      </c>
      <c r="Q225" s="9" t="s">
        <v>441</v>
      </c>
      <c r="R225" s="9" t="s">
        <v>153</v>
      </c>
      <c r="S225" s="14">
        <f t="shared" si="20"/>
        <v>60</v>
      </c>
      <c r="T225" s="10">
        <v>33</v>
      </c>
      <c r="U225" s="14">
        <v>0</v>
      </c>
    </row>
    <row r="226" spans="1:21" x14ac:dyDescent="0.2">
      <c r="A226" s="7" t="s">
        <v>580</v>
      </c>
      <c r="B226" s="10">
        <v>2018</v>
      </c>
      <c r="C226" s="9" t="s">
        <v>21</v>
      </c>
      <c r="D226" s="9" t="s">
        <v>4</v>
      </c>
      <c r="E226" s="9" t="s">
        <v>634</v>
      </c>
      <c r="F226" s="14">
        <v>45</v>
      </c>
      <c r="G226" s="9" t="s">
        <v>581</v>
      </c>
      <c r="H226" s="9">
        <f t="shared" si="16"/>
        <v>2021</v>
      </c>
      <c r="I226" s="9">
        <f t="shared" si="21"/>
        <v>2</v>
      </c>
      <c r="J226" s="9" t="s">
        <v>153</v>
      </c>
      <c r="K226" s="9" t="s">
        <v>153</v>
      </c>
      <c r="L226" s="9" t="s">
        <v>350</v>
      </c>
      <c r="M226" s="14">
        <v>2</v>
      </c>
      <c r="N226" s="35">
        <v>0</v>
      </c>
      <c r="O226" s="15" t="s">
        <v>632</v>
      </c>
      <c r="P226" s="22" t="s">
        <v>642</v>
      </c>
      <c r="Q226" s="9" t="s">
        <v>839</v>
      </c>
      <c r="R226" s="9" t="s">
        <v>153</v>
      </c>
      <c r="S226" s="14">
        <f t="shared" si="20"/>
        <v>16</v>
      </c>
      <c r="T226" s="10">
        <v>74</v>
      </c>
      <c r="U226" s="14">
        <v>0</v>
      </c>
    </row>
    <row r="227" spans="1:21" ht="11.25" customHeight="1" x14ac:dyDescent="0.2">
      <c r="A227" s="7" t="s">
        <v>582</v>
      </c>
      <c r="B227" s="10">
        <v>2020</v>
      </c>
      <c r="C227" s="9" t="s">
        <v>21</v>
      </c>
      <c r="D227" s="9" t="s">
        <v>4</v>
      </c>
      <c r="E227" s="9" t="s">
        <v>634</v>
      </c>
      <c r="F227" s="14">
        <v>68</v>
      </c>
      <c r="G227" s="9" t="s">
        <v>581</v>
      </c>
      <c r="H227" s="9">
        <f t="shared" ref="H227:H228" si="22">YEAR(G227)</f>
        <v>2021</v>
      </c>
      <c r="I227" s="9">
        <f t="shared" ref="I227:I228" si="23">MONTH(G227)</f>
        <v>2</v>
      </c>
      <c r="J227" s="9" t="s">
        <v>153</v>
      </c>
      <c r="K227" s="9" t="s">
        <v>153</v>
      </c>
      <c r="L227" s="9" t="s">
        <v>350</v>
      </c>
      <c r="M227" s="14">
        <v>2</v>
      </c>
      <c r="N227" s="35">
        <v>0</v>
      </c>
      <c r="O227" s="15" t="s">
        <v>632</v>
      </c>
      <c r="P227" s="22" t="s">
        <v>797</v>
      </c>
      <c r="Q227" s="9" t="s">
        <v>839</v>
      </c>
      <c r="R227" s="9" t="s">
        <v>153</v>
      </c>
      <c r="S227" s="14">
        <f t="shared" si="20"/>
        <v>56</v>
      </c>
      <c r="T227" s="10">
        <v>112</v>
      </c>
      <c r="U227" s="14">
        <v>1</v>
      </c>
    </row>
    <row r="228" spans="1:21" x14ac:dyDescent="0.2">
      <c r="A228" s="7" t="s">
        <v>583</v>
      </c>
      <c r="B228" s="10">
        <v>2019</v>
      </c>
      <c r="C228" s="9" t="s">
        <v>21</v>
      </c>
      <c r="D228" s="9" t="s">
        <v>4</v>
      </c>
      <c r="E228" s="9" t="s">
        <v>634</v>
      </c>
      <c r="F228" s="14">
        <v>44</v>
      </c>
      <c r="G228" s="9" t="s">
        <v>584</v>
      </c>
      <c r="H228" s="9">
        <f t="shared" si="22"/>
        <v>2021</v>
      </c>
      <c r="I228" s="9">
        <f t="shared" si="23"/>
        <v>2</v>
      </c>
      <c r="J228" s="9" t="s">
        <v>153</v>
      </c>
      <c r="K228" s="9" t="s">
        <v>153</v>
      </c>
      <c r="L228" s="9" t="s">
        <v>350</v>
      </c>
      <c r="M228" s="14">
        <v>2</v>
      </c>
      <c r="N228" s="35">
        <v>0</v>
      </c>
      <c r="O228" s="15" t="s">
        <v>632</v>
      </c>
      <c r="P228" s="22" t="s">
        <v>704</v>
      </c>
      <c r="Q228" s="9" t="s">
        <v>441</v>
      </c>
      <c r="R228" s="9" t="s">
        <v>153</v>
      </c>
      <c r="S228" s="14">
        <f t="shared" si="20"/>
        <v>15</v>
      </c>
      <c r="T228" s="10">
        <v>84</v>
      </c>
      <c r="U228" s="14">
        <v>0</v>
      </c>
    </row>
    <row r="229" spans="1:21" x14ac:dyDescent="0.2">
      <c r="A229" s="7" t="s">
        <v>585</v>
      </c>
      <c r="B229" s="10">
        <v>2019</v>
      </c>
      <c r="C229" s="9" t="s">
        <v>21</v>
      </c>
      <c r="D229" s="9" t="s">
        <v>4</v>
      </c>
      <c r="E229" s="9" t="s">
        <v>634</v>
      </c>
      <c r="F229" s="14">
        <v>60</v>
      </c>
      <c r="G229" s="9" t="s">
        <v>584</v>
      </c>
      <c r="H229" s="9">
        <f t="shared" ref="H229" si="24">YEAR(G229)</f>
        <v>2021</v>
      </c>
      <c r="I229" s="9">
        <f t="shared" ref="I229" si="25">MONTH(G229)</f>
        <v>2</v>
      </c>
      <c r="J229" s="9" t="s">
        <v>153</v>
      </c>
      <c r="K229" s="9" t="s">
        <v>153</v>
      </c>
      <c r="L229" s="9" t="s">
        <v>350</v>
      </c>
      <c r="M229" s="14">
        <v>1</v>
      </c>
      <c r="N229" s="35">
        <v>0</v>
      </c>
      <c r="O229" s="15" t="s">
        <v>632</v>
      </c>
      <c r="P229" s="37" t="s">
        <v>60</v>
      </c>
      <c r="Q229" s="9" t="s">
        <v>1155</v>
      </c>
      <c r="R229" s="9" t="s">
        <v>153</v>
      </c>
      <c r="S229" s="14">
        <f t="shared" si="20"/>
        <v>8</v>
      </c>
      <c r="T229" s="10">
        <v>0</v>
      </c>
      <c r="U229" s="14">
        <v>0</v>
      </c>
    </row>
    <row r="230" spans="1:21" x14ac:dyDescent="0.2">
      <c r="A230" s="7" t="s">
        <v>1189</v>
      </c>
      <c r="B230" s="10">
        <v>2019</v>
      </c>
      <c r="C230" s="9" t="s">
        <v>21</v>
      </c>
      <c r="D230" s="9" t="s">
        <v>4</v>
      </c>
      <c r="E230" s="9" t="s">
        <v>634</v>
      </c>
      <c r="F230" s="14">
        <v>60</v>
      </c>
      <c r="G230" s="9" t="s">
        <v>584</v>
      </c>
      <c r="H230" s="9">
        <f t="shared" ref="H230" si="26">YEAR(G230)</f>
        <v>2021</v>
      </c>
      <c r="I230" s="9">
        <f t="shared" ref="I230" si="27">MONTH(G230)</f>
        <v>2</v>
      </c>
      <c r="J230" s="9" t="s">
        <v>153</v>
      </c>
      <c r="K230" s="9" t="s">
        <v>153</v>
      </c>
      <c r="L230" s="9" t="s">
        <v>350</v>
      </c>
      <c r="M230" s="14">
        <v>3</v>
      </c>
      <c r="N230" s="35">
        <v>0</v>
      </c>
      <c r="O230" s="15" t="s">
        <v>632</v>
      </c>
      <c r="P230" s="22" t="s">
        <v>786</v>
      </c>
      <c r="Q230" s="9" t="s">
        <v>1188</v>
      </c>
      <c r="R230" s="9" t="s">
        <v>153</v>
      </c>
      <c r="S230" s="14">
        <f t="shared" si="20"/>
        <v>17</v>
      </c>
      <c r="T230" s="10">
        <v>392</v>
      </c>
      <c r="U230" s="14">
        <v>0</v>
      </c>
    </row>
    <row r="231" spans="1:21" x14ac:dyDescent="0.2">
      <c r="A231" s="7" t="s">
        <v>586</v>
      </c>
      <c r="B231" s="10">
        <v>2018</v>
      </c>
      <c r="C231" s="9" t="s">
        <v>21</v>
      </c>
      <c r="D231" s="9" t="s">
        <v>4</v>
      </c>
      <c r="E231" s="9" t="s">
        <v>634</v>
      </c>
      <c r="F231" s="14">
        <v>411</v>
      </c>
      <c r="G231" s="9" t="s">
        <v>587</v>
      </c>
      <c r="H231" s="9">
        <f t="shared" ref="H231" si="28">YEAR(G231)</f>
        <v>2021</v>
      </c>
      <c r="I231" s="9">
        <f t="shared" ref="I231" si="29">MONTH(G231)</f>
        <v>2</v>
      </c>
      <c r="J231" s="9" t="s">
        <v>153</v>
      </c>
      <c r="K231" s="9" t="s">
        <v>153</v>
      </c>
      <c r="L231" s="9" t="s">
        <v>341</v>
      </c>
      <c r="M231" s="14">
        <v>2</v>
      </c>
      <c r="N231" s="35">
        <v>34.99</v>
      </c>
      <c r="O231" s="15" t="s">
        <v>632</v>
      </c>
      <c r="P231" s="22" t="s">
        <v>798</v>
      </c>
      <c r="Q231" s="9" t="s">
        <v>839</v>
      </c>
      <c r="R231" s="9" t="s">
        <v>152</v>
      </c>
      <c r="S231" s="14">
        <f t="shared" si="20"/>
        <v>119</v>
      </c>
      <c r="T231" s="10">
        <v>286</v>
      </c>
      <c r="U231" s="14">
        <v>0</v>
      </c>
    </row>
    <row r="232" spans="1:21" x14ac:dyDescent="0.2">
      <c r="A232" s="7" t="s">
        <v>588</v>
      </c>
      <c r="B232" s="10">
        <v>2015</v>
      </c>
      <c r="C232" s="9" t="s">
        <v>21</v>
      </c>
      <c r="D232" s="9" t="s">
        <v>4</v>
      </c>
      <c r="E232" s="9" t="s">
        <v>634</v>
      </c>
      <c r="F232" s="14">
        <v>426</v>
      </c>
      <c r="G232" s="9" t="s">
        <v>587</v>
      </c>
      <c r="H232" s="9">
        <f t="shared" ref="H232" si="30">YEAR(G232)</f>
        <v>2021</v>
      </c>
      <c r="I232" s="9">
        <f t="shared" ref="I232" si="31">MONTH(G232)</f>
        <v>2</v>
      </c>
      <c r="J232" s="9" t="s">
        <v>153</v>
      </c>
      <c r="K232" s="9" t="s">
        <v>153</v>
      </c>
      <c r="L232" s="9" t="s">
        <v>341</v>
      </c>
      <c r="M232" s="14">
        <v>2</v>
      </c>
      <c r="N232" s="35">
        <v>44.99</v>
      </c>
      <c r="O232" s="15" t="s">
        <v>632</v>
      </c>
      <c r="P232" s="22" t="s">
        <v>799</v>
      </c>
      <c r="Q232" s="9" t="s">
        <v>839</v>
      </c>
      <c r="R232" s="9" t="s">
        <v>152</v>
      </c>
      <c r="S232" s="14">
        <f t="shared" si="20"/>
        <v>41</v>
      </c>
      <c r="T232" s="10">
        <v>84</v>
      </c>
      <c r="U232" s="14">
        <v>0</v>
      </c>
    </row>
    <row r="233" spans="1:21" x14ac:dyDescent="0.2">
      <c r="A233" s="7" t="s">
        <v>589</v>
      </c>
      <c r="B233" s="10">
        <v>2019</v>
      </c>
      <c r="C233" s="9" t="s">
        <v>21</v>
      </c>
      <c r="D233" s="9" t="s">
        <v>4</v>
      </c>
      <c r="E233" s="9" t="s">
        <v>634</v>
      </c>
      <c r="F233" s="14">
        <v>57</v>
      </c>
      <c r="G233" s="9" t="s">
        <v>590</v>
      </c>
      <c r="H233" s="9">
        <f t="shared" ref="H233:H234" si="32">YEAR(G233)</f>
        <v>2021</v>
      </c>
      <c r="I233" s="9">
        <f t="shared" ref="I233:I234" si="33">MONTH(G233)</f>
        <v>2</v>
      </c>
      <c r="J233" s="9" t="s">
        <v>153</v>
      </c>
      <c r="K233" s="9" t="s">
        <v>153</v>
      </c>
      <c r="L233" s="9" t="s">
        <v>350</v>
      </c>
      <c r="M233" s="14">
        <v>2</v>
      </c>
      <c r="N233" s="35">
        <v>0</v>
      </c>
      <c r="O233" s="15" t="s">
        <v>632</v>
      </c>
      <c r="P233" s="22" t="s">
        <v>642</v>
      </c>
      <c r="Q233" s="9" t="s">
        <v>839</v>
      </c>
      <c r="R233" s="9" t="s">
        <v>152</v>
      </c>
      <c r="S233" s="14">
        <f t="shared" si="20"/>
        <v>16</v>
      </c>
      <c r="T233" s="10">
        <v>65</v>
      </c>
      <c r="U233" s="14">
        <v>1</v>
      </c>
    </row>
    <row r="234" spans="1:21" x14ac:dyDescent="0.2">
      <c r="A234" s="7" t="s">
        <v>591</v>
      </c>
      <c r="B234" s="10">
        <v>2019</v>
      </c>
      <c r="C234" s="9" t="s">
        <v>21</v>
      </c>
      <c r="D234" s="9" t="s">
        <v>4</v>
      </c>
      <c r="E234" s="9" t="s">
        <v>634</v>
      </c>
      <c r="F234" s="14">
        <v>47</v>
      </c>
      <c r="G234" s="9" t="s">
        <v>590</v>
      </c>
      <c r="H234" s="9">
        <f t="shared" si="32"/>
        <v>2021</v>
      </c>
      <c r="I234" s="9">
        <f t="shared" si="33"/>
        <v>2</v>
      </c>
      <c r="J234" s="9" t="s">
        <v>153</v>
      </c>
      <c r="K234" s="9" t="s">
        <v>153</v>
      </c>
      <c r="L234" s="9" t="s">
        <v>350</v>
      </c>
      <c r="M234" s="14">
        <v>4</v>
      </c>
      <c r="N234" s="35">
        <v>0</v>
      </c>
      <c r="O234" s="15" t="s">
        <v>632</v>
      </c>
      <c r="P234" s="22" t="s">
        <v>800</v>
      </c>
      <c r="Q234" s="9" t="s">
        <v>441</v>
      </c>
      <c r="R234" s="9" t="s">
        <v>152</v>
      </c>
      <c r="S234" s="14">
        <f t="shared" si="20"/>
        <v>59</v>
      </c>
      <c r="T234" s="10">
        <v>43</v>
      </c>
      <c r="U234" s="14">
        <v>0</v>
      </c>
    </row>
    <row r="235" spans="1:21" x14ac:dyDescent="0.2">
      <c r="A235" s="7" t="s">
        <v>592</v>
      </c>
      <c r="B235" s="10">
        <v>2020</v>
      </c>
      <c r="C235" s="9" t="s">
        <v>21</v>
      </c>
      <c r="D235" s="9" t="s">
        <v>4</v>
      </c>
      <c r="E235" s="9" t="s">
        <v>634</v>
      </c>
      <c r="F235" s="14">
        <v>75</v>
      </c>
      <c r="G235" s="9" t="s">
        <v>593</v>
      </c>
      <c r="H235" s="9">
        <f t="shared" ref="H235" si="34">YEAR(G235)</f>
        <v>2021</v>
      </c>
      <c r="I235" s="9">
        <f t="shared" ref="I235" si="35">MONTH(G235)</f>
        <v>2</v>
      </c>
      <c r="J235" s="9" t="s">
        <v>153</v>
      </c>
      <c r="K235" s="9" t="s">
        <v>153</v>
      </c>
      <c r="L235" s="9" t="s">
        <v>350</v>
      </c>
      <c r="M235" s="14">
        <v>2</v>
      </c>
      <c r="N235" s="35">
        <v>0</v>
      </c>
      <c r="O235" s="15" t="s">
        <v>632</v>
      </c>
      <c r="P235" s="37" t="s">
        <v>60</v>
      </c>
      <c r="Q235" s="9" t="s">
        <v>839</v>
      </c>
      <c r="R235" s="9" t="s">
        <v>153</v>
      </c>
      <c r="S235" s="14">
        <f t="shared" si="20"/>
        <v>8</v>
      </c>
      <c r="T235" s="10">
        <v>0</v>
      </c>
      <c r="U235" s="14">
        <v>0</v>
      </c>
    </row>
    <row r="236" spans="1:21" x14ac:dyDescent="0.2">
      <c r="A236" s="7" t="s">
        <v>617</v>
      </c>
      <c r="B236" s="10">
        <v>2016</v>
      </c>
      <c r="C236" s="9" t="s">
        <v>21</v>
      </c>
      <c r="D236" s="9" t="s">
        <v>4</v>
      </c>
      <c r="E236" s="9" t="s">
        <v>634</v>
      </c>
      <c r="F236" s="14">
        <v>562</v>
      </c>
      <c r="G236" s="9" t="s">
        <v>618</v>
      </c>
      <c r="H236" s="9">
        <f t="shared" ref="H236:H262" si="36">YEAR(G236)</f>
        <v>2021</v>
      </c>
      <c r="I236" s="9">
        <f t="shared" ref="I236:I262" si="37">MONTH(G236)</f>
        <v>3</v>
      </c>
      <c r="J236" s="9" t="s">
        <v>153</v>
      </c>
      <c r="K236" s="9" t="s">
        <v>153</v>
      </c>
      <c r="L236" s="9" t="s">
        <v>363</v>
      </c>
      <c r="M236" s="10">
        <v>3</v>
      </c>
      <c r="N236" s="35">
        <v>39.950000000000003</v>
      </c>
      <c r="O236" s="15" t="s">
        <v>632</v>
      </c>
      <c r="P236" s="22" t="s">
        <v>801</v>
      </c>
      <c r="Q236" s="9" t="s">
        <v>538</v>
      </c>
      <c r="R236" s="9" t="s">
        <v>152</v>
      </c>
      <c r="S236" s="14">
        <f t="shared" ref="S236:S293" si="38">LEN(P236)</f>
        <v>54</v>
      </c>
      <c r="T236" s="10">
        <v>449</v>
      </c>
      <c r="U236" s="14">
        <v>1</v>
      </c>
    </row>
    <row r="237" spans="1:21" x14ac:dyDescent="0.2">
      <c r="A237" s="7" t="s">
        <v>619</v>
      </c>
      <c r="B237" s="10">
        <v>2020</v>
      </c>
      <c r="C237" s="9" t="s">
        <v>21</v>
      </c>
      <c r="D237" s="9" t="s">
        <v>4</v>
      </c>
      <c r="E237" s="9" t="s">
        <v>634</v>
      </c>
      <c r="F237" s="14">
        <v>50</v>
      </c>
      <c r="G237" s="9" t="s">
        <v>618</v>
      </c>
      <c r="H237" s="9">
        <f t="shared" si="36"/>
        <v>2021</v>
      </c>
      <c r="I237" s="9">
        <f t="shared" si="37"/>
        <v>3</v>
      </c>
      <c r="J237" s="9" t="s">
        <v>153</v>
      </c>
      <c r="K237" s="9" t="s">
        <v>153</v>
      </c>
      <c r="L237" s="9" t="s">
        <v>341</v>
      </c>
      <c r="M237" s="10">
        <v>1</v>
      </c>
      <c r="N237" s="35">
        <v>49.99</v>
      </c>
      <c r="O237" s="15" t="s">
        <v>632</v>
      </c>
      <c r="P237" s="22" t="s">
        <v>802</v>
      </c>
      <c r="Q237" s="9" t="s">
        <v>538</v>
      </c>
      <c r="R237" s="9" t="s">
        <v>152</v>
      </c>
      <c r="S237" s="14">
        <f t="shared" si="38"/>
        <v>417</v>
      </c>
      <c r="T237" s="10">
        <v>0</v>
      </c>
      <c r="U237" s="14">
        <v>0</v>
      </c>
    </row>
    <row r="238" spans="1:21" x14ac:dyDescent="0.2">
      <c r="A238" s="7" t="s">
        <v>1153</v>
      </c>
      <c r="B238" s="10">
        <v>2009</v>
      </c>
      <c r="C238" s="9" t="s">
        <v>21</v>
      </c>
      <c r="D238" s="9" t="s">
        <v>4</v>
      </c>
      <c r="E238" s="9" t="s">
        <v>634</v>
      </c>
      <c r="F238" s="14">
        <v>206</v>
      </c>
      <c r="G238" s="9" t="s">
        <v>1152</v>
      </c>
      <c r="H238" s="9">
        <f t="shared" si="36"/>
        <v>2021</v>
      </c>
      <c r="I238" s="9">
        <f t="shared" si="37"/>
        <v>8</v>
      </c>
      <c r="J238" s="9" t="s">
        <v>153</v>
      </c>
      <c r="K238" s="9" t="s">
        <v>153</v>
      </c>
      <c r="L238" s="9" t="s">
        <v>343</v>
      </c>
      <c r="M238" s="10">
        <v>2</v>
      </c>
      <c r="N238" s="35">
        <v>59.99</v>
      </c>
      <c r="O238" s="15" t="s">
        <v>632</v>
      </c>
      <c r="P238" s="22" t="s">
        <v>1146</v>
      </c>
      <c r="Q238" s="9" t="s">
        <v>442</v>
      </c>
      <c r="R238" s="9" t="s">
        <v>153</v>
      </c>
      <c r="S238" s="14">
        <f t="shared" si="38"/>
        <v>72</v>
      </c>
      <c r="T238" s="10">
        <v>206</v>
      </c>
      <c r="U238" s="14">
        <v>0</v>
      </c>
    </row>
    <row r="239" spans="1:21" x14ac:dyDescent="0.2">
      <c r="A239" s="7" t="s">
        <v>252</v>
      </c>
      <c r="B239" s="10">
        <v>2007</v>
      </c>
      <c r="C239" s="9" t="s">
        <v>21</v>
      </c>
      <c r="D239" s="9" t="s">
        <v>4</v>
      </c>
      <c r="E239" s="9" t="s">
        <v>634</v>
      </c>
      <c r="F239" s="14">
        <v>360</v>
      </c>
      <c r="G239" s="9" t="s">
        <v>620</v>
      </c>
      <c r="H239" s="9">
        <f t="shared" si="36"/>
        <v>2022</v>
      </c>
      <c r="I239" s="9">
        <f t="shared" si="37"/>
        <v>9</v>
      </c>
      <c r="J239" s="9" t="s">
        <v>153</v>
      </c>
      <c r="K239" s="9" t="s">
        <v>152</v>
      </c>
      <c r="L239" s="9" t="s">
        <v>343</v>
      </c>
      <c r="M239" s="10">
        <v>3</v>
      </c>
      <c r="N239" s="35">
        <v>49.99</v>
      </c>
      <c r="O239" s="15" t="s">
        <v>632</v>
      </c>
      <c r="P239" s="22" t="s">
        <v>803</v>
      </c>
      <c r="Q239" s="9" t="s">
        <v>1199</v>
      </c>
      <c r="R239" s="9" t="s">
        <v>153</v>
      </c>
      <c r="S239" s="14">
        <f t="shared" si="38"/>
        <v>99</v>
      </c>
      <c r="T239" s="10">
        <v>1602</v>
      </c>
      <c r="U239" s="14">
        <v>0</v>
      </c>
    </row>
    <row r="240" spans="1:21" x14ac:dyDescent="0.2">
      <c r="A240" s="7" t="s">
        <v>621</v>
      </c>
      <c r="B240" s="10">
        <v>2020</v>
      </c>
      <c r="C240" s="9" t="s">
        <v>21</v>
      </c>
      <c r="D240" s="9" t="s">
        <v>24</v>
      </c>
      <c r="E240" s="9" t="s">
        <v>635</v>
      </c>
      <c r="F240" s="14">
        <v>139</v>
      </c>
      <c r="G240" s="9" t="s">
        <v>622</v>
      </c>
      <c r="H240" s="9">
        <f t="shared" si="36"/>
        <v>2023</v>
      </c>
      <c r="I240" s="9">
        <f t="shared" si="37"/>
        <v>3</v>
      </c>
      <c r="J240" s="9" t="s">
        <v>153</v>
      </c>
      <c r="K240" s="9" t="s">
        <v>153</v>
      </c>
      <c r="L240" s="9" t="s">
        <v>623</v>
      </c>
      <c r="M240" s="10">
        <v>2</v>
      </c>
      <c r="N240" s="35">
        <v>5</v>
      </c>
      <c r="O240" s="15" t="s">
        <v>632</v>
      </c>
      <c r="P240" s="22" t="s">
        <v>804</v>
      </c>
      <c r="Q240" s="9" t="s">
        <v>442</v>
      </c>
      <c r="R240" s="9" t="s">
        <v>153</v>
      </c>
      <c r="S240" s="14">
        <f t="shared" si="38"/>
        <v>136</v>
      </c>
      <c r="T240" s="10">
        <v>258</v>
      </c>
      <c r="U240" s="14">
        <v>0</v>
      </c>
    </row>
    <row r="241" spans="1:21" x14ac:dyDescent="0.2">
      <c r="A241" s="7" t="s">
        <v>823</v>
      </c>
      <c r="B241" s="10">
        <v>2020</v>
      </c>
      <c r="C241" s="9" t="s">
        <v>21</v>
      </c>
      <c r="D241" s="9" t="s">
        <v>24</v>
      </c>
      <c r="E241" s="9" t="s">
        <v>635</v>
      </c>
      <c r="F241" s="14">
        <v>139</v>
      </c>
      <c r="G241" s="9" t="s">
        <v>824</v>
      </c>
      <c r="H241" s="9">
        <f t="shared" si="36"/>
        <v>2023</v>
      </c>
      <c r="I241" s="9">
        <f t="shared" si="37"/>
        <v>6</v>
      </c>
      <c r="J241" s="9" t="s">
        <v>153</v>
      </c>
      <c r="K241" s="9" t="s">
        <v>153</v>
      </c>
      <c r="L241" s="9" t="s">
        <v>623</v>
      </c>
      <c r="M241" s="10">
        <v>2</v>
      </c>
      <c r="N241" s="35">
        <v>5</v>
      </c>
      <c r="O241" s="15" t="s">
        <v>632</v>
      </c>
      <c r="P241" s="22" t="s">
        <v>825</v>
      </c>
      <c r="Q241" s="9" t="s">
        <v>1199</v>
      </c>
      <c r="R241" s="9" t="s">
        <v>153</v>
      </c>
      <c r="S241" s="14">
        <f t="shared" si="38"/>
        <v>68</v>
      </c>
      <c r="T241" s="10">
        <v>372</v>
      </c>
      <c r="U241" s="14">
        <v>0</v>
      </c>
    </row>
    <row r="242" spans="1:21" x14ac:dyDescent="0.2">
      <c r="A242" s="7" t="s">
        <v>808</v>
      </c>
      <c r="B242" s="10">
        <v>2021</v>
      </c>
      <c r="C242" s="9" t="s">
        <v>21</v>
      </c>
      <c r="D242" s="9" t="s">
        <v>4</v>
      </c>
      <c r="E242" s="9" t="s">
        <v>634</v>
      </c>
      <c r="F242" s="14">
        <v>91</v>
      </c>
      <c r="G242" s="9" t="s">
        <v>809</v>
      </c>
      <c r="H242" s="9">
        <f t="shared" si="36"/>
        <v>2023</v>
      </c>
      <c r="I242" s="9">
        <f t="shared" si="37"/>
        <v>6</v>
      </c>
      <c r="J242" s="9" t="s">
        <v>153</v>
      </c>
      <c r="K242" s="9" t="s">
        <v>152</v>
      </c>
      <c r="L242" s="9" t="s">
        <v>345</v>
      </c>
      <c r="M242" s="10">
        <v>2</v>
      </c>
      <c r="N242" s="35">
        <v>47.99</v>
      </c>
      <c r="O242" s="9" t="s">
        <v>632</v>
      </c>
      <c r="P242" s="22" t="s">
        <v>810</v>
      </c>
      <c r="Q242" s="9" t="s">
        <v>538</v>
      </c>
      <c r="R242" s="9" t="s">
        <v>153</v>
      </c>
      <c r="S242" s="14">
        <f t="shared" si="38"/>
        <v>37</v>
      </c>
      <c r="T242" s="10">
        <v>168</v>
      </c>
      <c r="U242" s="14">
        <v>0</v>
      </c>
    </row>
    <row r="243" spans="1:21" x14ac:dyDescent="0.2">
      <c r="A243" s="7" t="s">
        <v>811</v>
      </c>
      <c r="B243" s="10">
        <v>2021</v>
      </c>
      <c r="C243" s="9" t="s">
        <v>21</v>
      </c>
      <c r="D243" s="9" t="s">
        <v>4</v>
      </c>
      <c r="E243" s="9" t="s">
        <v>634</v>
      </c>
      <c r="F243" s="14">
        <v>19</v>
      </c>
      <c r="G243" s="9" t="s">
        <v>809</v>
      </c>
      <c r="H243" s="9">
        <f t="shared" si="36"/>
        <v>2023</v>
      </c>
      <c r="I243" s="9">
        <f t="shared" si="37"/>
        <v>6</v>
      </c>
      <c r="J243" s="9" t="s">
        <v>153</v>
      </c>
      <c r="K243" s="9" t="s">
        <v>153</v>
      </c>
      <c r="L243" s="9" t="s">
        <v>812</v>
      </c>
      <c r="M243" s="10">
        <v>1</v>
      </c>
      <c r="N243" s="35">
        <v>0</v>
      </c>
      <c r="O243" s="9" t="s">
        <v>632</v>
      </c>
      <c r="P243" s="22" t="s">
        <v>813</v>
      </c>
      <c r="Q243" s="9" t="s">
        <v>1199</v>
      </c>
      <c r="R243" s="9" t="s">
        <v>153</v>
      </c>
      <c r="S243" s="14">
        <f t="shared" si="38"/>
        <v>78</v>
      </c>
      <c r="T243" s="10">
        <v>91</v>
      </c>
      <c r="U243" s="14">
        <v>0</v>
      </c>
    </row>
    <row r="244" spans="1:21" x14ac:dyDescent="0.2">
      <c r="A244" s="7" t="s">
        <v>814</v>
      </c>
      <c r="B244" s="10">
        <v>2014</v>
      </c>
      <c r="C244" s="9" t="s">
        <v>21</v>
      </c>
      <c r="D244" s="9" t="s">
        <v>4</v>
      </c>
      <c r="E244" s="9" t="s">
        <v>634</v>
      </c>
      <c r="F244" s="14">
        <v>59</v>
      </c>
      <c r="G244" s="9" t="s">
        <v>809</v>
      </c>
      <c r="H244" s="9">
        <f t="shared" si="36"/>
        <v>2023</v>
      </c>
      <c r="I244" s="9">
        <f t="shared" si="37"/>
        <v>6</v>
      </c>
      <c r="J244" s="9" t="s">
        <v>153</v>
      </c>
      <c r="K244" s="9" t="s">
        <v>153</v>
      </c>
      <c r="L244" s="9" t="s">
        <v>343</v>
      </c>
      <c r="M244" s="14">
        <v>1</v>
      </c>
      <c r="N244" s="35">
        <v>29.99</v>
      </c>
      <c r="O244" s="9" t="s">
        <v>632</v>
      </c>
      <c r="P244" s="22" t="s">
        <v>60</v>
      </c>
      <c r="Q244" s="9" t="s">
        <v>442</v>
      </c>
      <c r="R244" s="9" t="s">
        <v>153</v>
      </c>
      <c r="S244" s="14">
        <f t="shared" si="38"/>
        <v>8</v>
      </c>
      <c r="T244" s="10">
        <v>33</v>
      </c>
      <c r="U244" s="14">
        <v>0</v>
      </c>
    </row>
    <row r="245" spans="1:21" x14ac:dyDescent="0.2">
      <c r="A245" s="7" t="s">
        <v>815</v>
      </c>
      <c r="B245" s="10">
        <v>2023</v>
      </c>
      <c r="C245" s="9" t="s">
        <v>21</v>
      </c>
      <c r="D245" s="9" t="s">
        <v>4</v>
      </c>
      <c r="E245" s="9" t="s">
        <v>634</v>
      </c>
      <c r="F245" s="14">
        <v>25</v>
      </c>
      <c r="G245" s="9" t="s">
        <v>809</v>
      </c>
      <c r="H245" s="9">
        <f t="shared" si="36"/>
        <v>2023</v>
      </c>
      <c r="I245" s="9">
        <f t="shared" si="37"/>
        <v>6</v>
      </c>
      <c r="J245" s="9" t="s">
        <v>153</v>
      </c>
      <c r="K245" s="9" t="s">
        <v>153</v>
      </c>
      <c r="L245" s="9" t="s">
        <v>570</v>
      </c>
      <c r="M245" s="14">
        <v>3</v>
      </c>
      <c r="N245" s="35">
        <v>0</v>
      </c>
      <c r="O245" s="9" t="s">
        <v>632</v>
      </c>
      <c r="P245" s="22" t="s">
        <v>58</v>
      </c>
      <c r="Q245" s="9" t="s">
        <v>1199</v>
      </c>
      <c r="R245" s="9" t="s">
        <v>153</v>
      </c>
      <c r="S245" s="14">
        <f t="shared" si="38"/>
        <v>7</v>
      </c>
      <c r="T245" s="10">
        <v>125</v>
      </c>
      <c r="U245" s="14">
        <v>0</v>
      </c>
    </row>
    <row r="246" spans="1:21" x14ac:dyDescent="0.2">
      <c r="A246" s="7" t="s">
        <v>816</v>
      </c>
      <c r="B246" s="10">
        <v>2021</v>
      </c>
      <c r="C246" s="9" t="s">
        <v>21</v>
      </c>
      <c r="D246" s="9" t="s">
        <v>4</v>
      </c>
      <c r="E246" s="9" t="s">
        <v>635</v>
      </c>
      <c r="F246" s="14">
        <v>151</v>
      </c>
      <c r="G246" s="9" t="s">
        <v>809</v>
      </c>
      <c r="H246" s="9">
        <f t="shared" si="36"/>
        <v>2023</v>
      </c>
      <c r="I246" s="9">
        <f t="shared" si="37"/>
        <v>6</v>
      </c>
      <c r="J246" s="9" t="s">
        <v>153</v>
      </c>
      <c r="K246" s="9" t="s">
        <v>153</v>
      </c>
      <c r="L246" s="9" t="s">
        <v>817</v>
      </c>
      <c r="M246" s="14">
        <v>3</v>
      </c>
      <c r="N246" s="35">
        <v>26.35</v>
      </c>
      <c r="O246" s="9" t="s">
        <v>632</v>
      </c>
      <c r="P246" s="22" t="s">
        <v>642</v>
      </c>
      <c r="Q246" s="9" t="s">
        <v>1187</v>
      </c>
      <c r="R246" s="9" t="s">
        <v>153</v>
      </c>
      <c r="S246" s="14">
        <f t="shared" si="38"/>
        <v>16</v>
      </c>
      <c r="T246" s="10">
        <v>109</v>
      </c>
      <c r="U246" s="14">
        <v>4</v>
      </c>
    </row>
    <row r="247" spans="1:21" x14ac:dyDescent="0.2">
      <c r="A247" s="7" t="s">
        <v>818</v>
      </c>
      <c r="B247" s="10">
        <v>2020</v>
      </c>
      <c r="C247" s="9" t="s">
        <v>21</v>
      </c>
      <c r="D247" s="9" t="s">
        <v>4</v>
      </c>
      <c r="E247" s="9" t="s">
        <v>634</v>
      </c>
      <c r="F247" s="10">
        <v>75</v>
      </c>
      <c r="G247" s="9" t="s">
        <v>819</v>
      </c>
      <c r="H247" s="9">
        <f t="shared" si="36"/>
        <v>2023</v>
      </c>
      <c r="I247" s="9">
        <f t="shared" si="37"/>
        <v>6</v>
      </c>
      <c r="J247" s="9" t="s">
        <v>153</v>
      </c>
      <c r="K247" s="9" t="s">
        <v>153</v>
      </c>
      <c r="L247" s="9" t="s">
        <v>570</v>
      </c>
      <c r="M247" s="10">
        <v>2</v>
      </c>
      <c r="N247" s="35">
        <v>0</v>
      </c>
      <c r="O247" s="9" t="s">
        <v>632</v>
      </c>
      <c r="P247" s="22" t="s">
        <v>642</v>
      </c>
      <c r="Q247" s="9" t="s">
        <v>538</v>
      </c>
      <c r="R247" s="9" t="s">
        <v>153</v>
      </c>
      <c r="S247" s="14">
        <f t="shared" si="38"/>
        <v>16</v>
      </c>
      <c r="T247" s="10">
        <v>253</v>
      </c>
      <c r="U247" s="14">
        <v>0</v>
      </c>
    </row>
    <row r="248" spans="1:21" x14ac:dyDescent="0.2">
      <c r="A248" s="7" t="s">
        <v>820</v>
      </c>
      <c r="B248" s="10">
        <v>2023</v>
      </c>
      <c r="C248" s="9" t="s">
        <v>21</v>
      </c>
      <c r="D248" s="9" t="s">
        <v>4</v>
      </c>
      <c r="E248" s="9" t="s">
        <v>634</v>
      </c>
      <c r="F248" s="10">
        <v>83</v>
      </c>
      <c r="G248" s="9" t="s">
        <v>819</v>
      </c>
      <c r="H248" s="9">
        <f t="shared" si="36"/>
        <v>2023</v>
      </c>
      <c r="I248" s="9">
        <f t="shared" si="37"/>
        <v>6</v>
      </c>
      <c r="J248" s="9" t="s">
        <v>153</v>
      </c>
      <c r="K248" s="9" t="s">
        <v>153</v>
      </c>
      <c r="L248" s="9" t="s">
        <v>821</v>
      </c>
      <c r="M248" s="10">
        <v>1</v>
      </c>
      <c r="N248" s="35">
        <v>12.71</v>
      </c>
      <c r="O248" s="9" t="s">
        <v>632</v>
      </c>
      <c r="P248" s="22" t="s">
        <v>822</v>
      </c>
      <c r="Q248" s="9" t="s">
        <v>538</v>
      </c>
      <c r="R248" s="9" t="s">
        <v>153</v>
      </c>
      <c r="S248" s="14">
        <f t="shared" si="38"/>
        <v>91</v>
      </c>
      <c r="T248" s="10">
        <v>0</v>
      </c>
      <c r="U248" s="14">
        <v>0</v>
      </c>
    </row>
    <row r="249" spans="1:21" x14ac:dyDescent="0.2">
      <c r="A249" s="7" t="s">
        <v>827</v>
      </c>
      <c r="B249" s="10">
        <v>2019</v>
      </c>
      <c r="C249" s="9" t="s">
        <v>21</v>
      </c>
      <c r="D249" s="9" t="s">
        <v>4</v>
      </c>
      <c r="E249" s="9" t="s">
        <v>634</v>
      </c>
      <c r="F249" s="10">
        <v>175</v>
      </c>
      <c r="G249" s="9" t="s">
        <v>828</v>
      </c>
      <c r="H249" s="9">
        <f t="shared" si="36"/>
        <v>2023</v>
      </c>
      <c r="I249" s="9">
        <f t="shared" si="37"/>
        <v>8</v>
      </c>
      <c r="J249" s="9" t="s">
        <v>153</v>
      </c>
      <c r="K249" s="9" t="s">
        <v>153</v>
      </c>
      <c r="L249" s="9" t="s">
        <v>570</v>
      </c>
      <c r="M249" s="10">
        <v>3</v>
      </c>
      <c r="N249" s="35">
        <v>29.9</v>
      </c>
      <c r="O249" s="9" t="s">
        <v>632</v>
      </c>
      <c r="P249" s="22" t="s">
        <v>829</v>
      </c>
      <c r="Q249" s="9" t="s">
        <v>538</v>
      </c>
      <c r="R249" s="9" t="s">
        <v>153</v>
      </c>
      <c r="S249" s="14">
        <f t="shared" si="38"/>
        <v>33</v>
      </c>
      <c r="T249" s="10">
        <v>482</v>
      </c>
      <c r="U249" s="14">
        <v>7</v>
      </c>
    </row>
    <row r="250" spans="1:21" x14ac:dyDescent="0.2">
      <c r="A250" s="7" t="s">
        <v>830</v>
      </c>
      <c r="B250" s="10">
        <v>2015</v>
      </c>
      <c r="C250" s="9" t="s">
        <v>21</v>
      </c>
      <c r="D250" s="9" t="s">
        <v>4</v>
      </c>
      <c r="E250" s="9" t="s">
        <v>634</v>
      </c>
      <c r="F250" s="10">
        <v>766</v>
      </c>
      <c r="G250" s="9" t="s">
        <v>828</v>
      </c>
      <c r="H250" s="9">
        <f t="shared" si="36"/>
        <v>2023</v>
      </c>
      <c r="I250" s="9">
        <f t="shared" si="37"/>
        <v>8</v>
      </c>
      <c r="J250" s="9" t="s">
        <v>153</v>
      </c>
      <c r="K250" s="9" t="s">
        <v>153</v>
      </c>
      <c r="L250" s="9" t="s">
        <v>343</v>
      </c>
      <c r="M250" s="10">
        <v>1</v>
      </c>
      <c r="N250" s="35">
        <v>49.99</v>
      </c>
      <c r="O250" s="9" t="s">
        <v>632</v>
      </c>
      <c r="P250" s="12" t="s">
        <v>831</v>
      </c>
      <c r="Q250" s="9" t="s">
        <v>538</v>
      </c>
      <c r="R250" s="9" t="s">
        <v>153</v>
      </c>
      <c r="S250" s="14">
        <f t="shared" si="38"/>
        <v>325</v>
      </c>
      <c r="T250" s="10">
        <v>284</v>
      </c>
      <c r="U250" s="14">
        <v>4</v>
      </c>
    </row>
    <row r="251" spans="1:21" x14ac:dyDescent="0.2">
      <c r="A251" s="7" t="s">
        <v>832</v>
      </c>
      <c r="B251" s="10">
        <v>2023</v>
      </c>
      <c r="C251" s="9" t="s">
        <v>21</v>
      </c>
      <c r="D251" s="9" t="s">
        <v>4</v>
      </c>
      <c r="E251" s="9" t="s">
        <v>634</v>
      </c>
      <c r="F251" s="10">
        <v>42</v>
      </c>
      <c r="G251" s="9" t="s">
        <v>833</v>
      </c>
      <c r="H251" s="9">
        <f t="shared" si="36"/>
        <v>2023</v>
      </c>
      <c r="I251" s="9">
        <f t="shared" si="37"/>
        <v>8</v>
      </c>
      <c r="J251" s="9" t="s">
        <v>153</v>
      </c>
      <c r="K251" s="9" t="s">
        <v>153</v>
      </c>
      <c r="L251" s="9" t="s">
        <v>834</v>
      </c>
      <c r="M251" s="10">
        <v>1</v>
      </c>
      <c r="N251" s="35">
        <v>0</v>
      </c>
      <c r="O251" s="9" t="s">
        <v>632</v>
      </c>
      <c r="P251" s="22" t="s">
        <v>835</v>
      </c>
      <c r="Q251" s="9" t="s">
        <v>1199</v>
      </c>
      <c r="R251" s="9" t="s">
        <v>153</v>
      </c>
      <c r="S251" s="14">
        <f t="shared" si="38"/>
        <v>43</v>
      </c>
      <c r="T251" s="10">
        <v>0</v>
      </c>
      <c r="U251" s="14">
        <v>0</v>
      </c>
    </row>
    <row r="252" spans="1:21" x14ac:dyDescent="0.2">
      <c r="A252" s="7" t="s">
        <v>836</v>
      </c>
      <c r="B252" s="14">
        <v>2022</v>
      </c>
      <c r="C252" s="9" t="s">
        <v>21</v>
      </c>
      <c r="D252" s="9" t="s">
        <v>4</v>
      </c>
      <c r="E252" s="9" t="s">
        <v>634</v>
      </c>
      <c r="F252" s="10">
        <v>187</v>
      </c>
      <c r="G252" s="9" t="s">
        <v>837</v>
      </c>
      <c r="H252" s="9">
        <f t="shared" si="36"/>
        <v>2023</v>
      </c>
      <c r="I252" s="9">
        <f t="shared" si="37"/>
        <v>8</v>
      </c>
      <c r="J252" s="9" t="s">
        <v>153</v>
      </c>
      <c r="K252" s="9" t="s">
        <v>153</v>
      </c>
      <c r="L252" s="9" t="s">
        <v>345</v>
      </c>
      <c r="M252" s="10">
        <v>2</v>
      </c>
      <c r="N252" s="35">
        <v>49.99</v>
      </c>
      <c r="O252" s="9" t="s">
        <v>632</v>
      </c>
      <c r="P252" s="7" t="s">
        <v>838</v>
      </c>
      <c r="Q252" s="9" t="s">
        <v>538</v>
      </c>
      <c r="R252" s="9" t="s">
        <v>153</v>
      </c>
      <c r="S252" s="14">
        <f t="shared" si="38"/>
        <v>50</v>
      </c>
      <c r="T252" s="10">
        <v>367</v>
      </c>
      <c r="U252" s="41">
        <v>2</v>
      </c>
    </row>
    <row r="253" spans="1:21" x14ac:dyDescent="0.2">
      <c r="A253" s="7" t="s">
        <v>840</v>
      </c>
      <c r="B253" s="14">
        <v>2023</v>
      </c>
      <c r="C253" s="9" t="s">
        <v>21</v>
      </c>
      <c r="D253" s="9" t="s">
        <v>4</v>
      </c>
      <c r="E253" s="9" t="s">
        <v>634</v>
      </c>
      <c r="F253" s="10">
        <v>280</v>
      </c>
      <c r="G253" s="9" t="s">
        <v>841</v>
      </c>
      <c r="H253" s="14">
        <f t="shared" si="36"/>
        <v>2023</v>
      </c>
      <c r="I253" s="14">
        <f t="shared" si="37"/>
        <v>9</v>
      </c>
      <c r="J253" s="9" t="s">
        <v>153</v>
      </c>
      <c r="K253" s="9" t="s">
        <v>153</v>
      </c>
      <c r="L253" s="11" t="s">
        <v>842</v>
      </c>
      <c r="M253" s="8">
        <v>2</v>
      </c>
      <c r="N253" s="35">
        <v>29.95</v>
      </c>
      <c r="O253" s="9" t="s">
        <v>632</v>
      </c>
      <c r="P253" s="12" t="s">
        <v>843</v>
      </c>
      <c r="Q253" s="9" t="s">
        <v>538</v>
      </c>
      <c r="R253" s="9" t="s">
        <v>153</v>
      </c>
      <c r="S253" s="14">
        <f t="shared" si="38"/>
        <v>144</v>
      </c>
      <c r="T253" s="10">
        <v>429</v>
      </c>
      <c r="U253" s="14">
        <v>0</v>
      </c>
    </row>
    <row r="254" spans="1:21" x14ac:dyDescent="0.2">
      <c r="A254" s="7" t="s">
        <v>844</v>
      </c>
      <c r="B254" s="14">
        <v>2021</v>
      </c>
      <c r="C254" s="9" t="s">
        <v>21</v>
      </c>
      <c r="D254" s="9" t="s">
        <v>4</v>
      </c>
      <c r="E254" s="9" t="s">
        <v>634</v>
      </c>
      <c r="F254" s="10">
        <v>391</v>
      </c>
      <c r="G254" s="9" t="s">
        <v>845</v>
      </c>
      <c r="H254" s="14">
        <f t="shared" si="36"/>
        <v>2023</v>
      </c>
      <c r="I254" s="14">
        <f t="shared" si="37"/>
        <v>9</v>
      </c>
      <c r="J254" s="9" t="s">
        <v>153</v>
      </c>
      <c r="K254" s="9" t="s">
        <v>153</v>
      </c>
      <c r="L254" s="9" t="s">
        <v>570</v>
      </c>
      <c r="M254" s="10">
        <v>3</v>
      </c>
      <c r="N254" s="35">
        <v>39</v>
      </c>
      <c r="O254" s="9" t="s">
        <v>632</v>
      </c>
      <c r="P254" s="12" t="s">
        <v>846</v>
      </c>
      <c r="Q254" s="9" t="s">
        <v>538</v>
      </c>
      <c r="R254" s="9" t="s">
        <v>153</v>
      </c>
      <c r="S254" s="14">
        <f t="shared" si="38"/>
        <v>231</v>
      </c>
      <c r="T254" s="10">
        <v>373</v>
      </c>
      <c r="U254" s="14">
        <v>2</v>
      </c>
    </row>
    <row r="255" spans="1:21" x14ac:dyDescent="0.2">
      <c r="A255" s="7" t="s">
        <v>847</v>
      </c>
      <c r="B255" s="14">
        <v>2020</v>
      </c>
      <c r="C255" s="9" t="s">
        <v>21</v>
      </c>
      <c r="D255" s="9" t="s">
        <v>4</v>
      </c>
      <c r="E255" s="9" t="s">
        <v>634</v>
      </c>
      <c r="F255" s="10">
        <v>177</v>
      </c>
      <c r="G255" s="9" t="s">
        <v>848</v>
      </c>
      <c r="H255" s="14">
        <f t="shared" si="36"/>
        <v>2023</v>
      </c>
      <c r="I255" s="14">
        <f t="shared" si="37"/>
        <v>9</v>
      </c>
      <c r="J255" s="9" t="s">
        <v>153</v>
      </c>
      <c r="K255" s="9" t="s">
        <v>153</v>
      </c>
      <c r="L255" s="9" t="s">
        <v>570</v>
      </c>
      <c r="M255" s="10">
        <v>2</v>
      </c>
      <c r="N255" s="35">
        <v>0</v>
      </c>
      <c r="O255" s="9" t="s">
        <v>632</v>
      </c>
      <c r="P255" s="12" t="s">
        <v>1002</v>
      </c>
      <c r="Q255" s="9" t="s">
        <v>538</v>
      </c>
      <c r="R255" s="9" t="s">
        <v>153</v>
      </c>
      <c r="S255" s="14">
        <f t="shared" si="38"/>
        <v>335</v>
      </c>
      <c r="T255" s="10">
        <v>421</v>
      </c>
      <c r="U255" s="14">
        <v>5</v>
      </c>
    </row>
    <row r="256" spans="1:21" x14ac:dyDescent="0.2">
      <c r="A256" s="7" t="s">
        <v>849</v>
      </c>
      <c r="B256" s="14">
        <v>2018</v>
      </c>
      <c r="C256" s="9" t="s">
        <v>21</v>
      </c>
      <c r="D256" s="9" t="s">
        <v>4</v>
      </c>
      <c r="E256" s="9" t="s">
        <v>634</v>
      </c>
      <c r="F256" s="10">
        <v>105</v>
      </c>
      <c r="G256" s="9" t="s">
        <v>850</v>
      </c>
      <c r="H256" s="14">
        <f t="shared" si="36"/>
        <v>2023</v>
      </c>
      <c r="I256" s="14">
        <f t="shared" si="37"/>
        <v>9</v>
      </c>
      <c r="J256" s="9" t="s">
        <v>153</v>
      </c>
      <c r="K256" s="9" t="s">
        <v>153</v>
      </c>
      <c r="L256" s="9" t="s">
        <v>570</v>
      </c>
      <c r="M256" s="10">
        <v>2</v>
      </c>
      <c r="N256" s="35">
        <v>0</v>
      </c>
      <c r="O256" s="9" t="s">
        <v>632</v>
      </c>
      <c r="P256" s="38" t="s">
        <v>851</v>
      </c>
      <c r="Q256" s="9" t="s">
        <v>1199</v>
      </c>
      <c r="R256" s="9" t="s">
        <v>153</v>
      </c>
      <c r="S256" s="14">
        <f t="shared" si="38"/>
        <v>80</v>
      </c>
      <c r="T256" s="10">
        <v>230</v>
      </c>
      <c r="U256" s="14">
        <v>0</v>
      </c>
    </row>
    <row r="257" spans="1:21" x14ac:dyDescent="0.2">
      <c r="A257" s="7" t="s">
        <v>852</v>
      </c>
      <c r="B257" s="14">
        <v>2023</v>
      </c>
      <c r="C257" s="9" t="s">
        <v>21</v>
      </c>
      <c r="D257" s="9" t="s">
        <v>4</v>
      </c>
      <c r="E257" s="9" t="s">
        <v>634</v>
      </c>
      <c r="F257" s="10">
        <v>240</v>
      </c>
      <c r="G257" s="9" t="s">
        <v>850</v>
      </c>
      <c r="H257" s="14">
        <f t="shared" si="36"/>
        <v>2023</v>
      </c>
      <c r="I257" s="14">
        <f t="shared" si="37"/>
        <v>9</v>
      </c>
      <c r="J257" s="9" t="s">
        <v>153</v>
      </c>
      <c r="K257" s="9" t="s">
        <v>153</v>
      </c>
      <c r="L257" s="9" t="s">
        <v>341</v>
      </c>
      <c r="M257" s="10">
        <v>3</v>
      </c>
      <c r="N257" s="35">
        <v>39.99</v>
      </c>
      <c r="O257" s="9" t="s">
        <v>632</v>
      </c>
      <c r="P257" s="7" t="s">
        <v>853</v>
      </c>
      <c r="Q257" s="9" t="s">
        <v>442</v>
      </c>
      <c r="R257" s="9" t="s">
        <v>153</v>
      </c>
      <c r="S257" s="14">
        <f t="shared" si="38"/>
        <v>78</v>
      </c>
      <c r="T257" s="10">
        <v>194</v>
      </c>
      <c r="U257" s="14">
        <v>2</v>
      </c>
    </row>
    <row r="258" spans="1:21" x14ac:dyDescent="0.2">
      <c r="A258" s="7" t="s">
        <v>854</v>
      </c>
      <c r="B258" s="14">
        <v>2023</v>
      </c>
      <c r="C258" s="9" t="s">
        <v>21</v>
      </c>
      <c r="D258" s="9" t="s">
        <v>4</v>
      </c>
      <c r="E258" s="9" t="s">
        <v>634</v>
      </c>
      <c r="F258" s="10">
        <v>51</v>
      </c>
      <c r="G258" s="9" t="s">
        <v>855</v>
      </c>
      <c r="H258" s="14">
        <f t="shared" si="36"/>
        <v>2023</v>
      </c>
      <c r="I258" s="14">
        <f t="shared" si="37"/>
        <v>9</v>
      </c>
      <c r="J258" s="9" t="s">
        <v>153</v>
      </c>
      <c r="K258" s="9" t="s">
        <v>153</v>
      </c>
      <c r="L258" s="9" t="s">
        <v>856</v>
      </c>
      <c r="M258" s="10">
        <v>2</v>
      </c>
      <c r="N258" s="35">
        <v>0</v>
      </c>
      <c r="O258" s="9" t="s">
        <v>632</v>
      </c>
      <c r="P258" s="7" t="s">
        <v>857</v>
      </c>
      <c r="Q258" s="9" t="s">
        <v>538</v>
      </c>
      <c r="R258" s="9" t="s">
        <v>153</v>
      </c>
      <c r="S258" s="14">
        <f t="shared" si="38"/>
        <v>60</v>
      </c>
      <c r="T258" s="10">
        <v>19</v>
      </c>
      <c r="U258" s="14">
        <v>0</v>
      </c>
    </row>
    <row r="259" spans="1:21" x14ac:dyDescent="0.2">
      <c r="A259" s="7" t="s">
        <v>858</v>
      </c>
      <c r="B259" s="14">
        <v>2023</v>
      </c>
      <c r="C259" s="9" t="s">
        <v>21</v>
      </c>
      <c r="D259" s="9" t="s">
        <v>4</v>
      </c>
      <c r="E259" s="9" t="s">
        <v>634</v>
      </c>
      <c r="F259" s="10">
        <v>184</v>
      </c>
      <c r="G259" s="9" t="s">
        <v>855</v>
      </c>
      <c r="H259" s="14">
        <f t="shared" si="36"/>
        <v>2023</v>
      </c>
      <c r="I259" s="14">
        <f t="shared" si="37"/>
        <v>9</v>
      </c>
      <c r="J259" s="9" t="s">
        <v>153</v>
      </c>
      <c r="K259" s="9" t="s">
        <v>153</v>
      </c>
      <c r="L259" s="9" t="s">
        <v>370</v>
      </c>
      <c r="M259" s="10">
        <v>2</v>
      </c>
      <c r="N259" s="35">
        <v>29.99</v>
      </c>
      <c r="O259" s="9" t="s">
        <v>632</v>
      </c>
      <c r="P259" s="12" t="s">
        <v>859</v>
      </c>
      <c r="Q259" s="9" t="s">
        <v>1199</v>
      </c>
      <c r="R259" s="9" t="s">
        <v>153</v>
      </c>
      <c r="S259" s="14">
        <f t="shared" si="38"/>
        <v>137</v>
      </c>
      <c r="T259" s="10">
        <v>58</v>
      </c>
      <c r="U259" s="14">
        <v>0</v>
      </c>
    </row>
    <row r="260" spans="1:21" x14ac:dyDescent="0.2">
      <c r="A260" s="7" t="s">
        <v>860</v>
      </c>
      <c r="B260" s="14">
        <v>2023</v>
      </c>
      <c r="C260" s="9" t="s">
        <v>21</v>
      </c>
      <c r="D260" s="9" t="s">
        <v>4</v>
      </c>
      <c r="E260" s="9" t="s">
        <v>634</v>
      </c>
      <c r="F260" s="10">
        <v>203</v>
      </c>
      <c r="G260" s="9" t="s">
        <v>861</v>
      </c>
      <c r="H260" s="14">
        <f t="shared" si="36"/>
        <v>2023</v>
      </c>
      <c r="I260" s="14">
        <f t="shared" si="37"/>
        <v>9</v>
      </c>
      <c r="J260" s="9" t="s">
        <v>153</v>
      </c>
      <c r="K260" s="9" t="s">
        <v>153</v>
      </c>
      <c r="L260" s="9" t="s">
        <v>362</v>
      </c>
      <c r="M260" s="10">
        <v>2</v>
      </c>
      <c r="N260" s="35">
        <v>29.49</v>
      </c>
      <c r="O260" s="9" t="s">
        <v>632</v>
      </c>
      <c r="P260" s="9" t="s">
        <v>862</v>
      </c>
      <c r="Q260" s="9" t="s">
        <v>442</v>
      </c>
      <c r="R260" s="9" t="s">
        <v>153</v>
      </c>
      <c r="S260" s="14">
        <f t="shared" si="38"/>
        <v>105</v>
      </c>
      <c r="T260" s="10">
        <v>145</v>
      </c>
      <c r="U260" s="14">
        <v>0</v>
      </c>
    </row>
    <row r="261" spans="1:21" x14ac:dyDescent="0.2">
      <c r="A261" s="7" t="s">
        <v>863</v>
      </c>
      <c r="B261" s="14">
        <v>2021</v>
      </c>
      <c r="C261" s="9" t="s">
        <v>21</v>
      </c>
      <c r="D261" s="9" t="s">
        <v>4</v>
      </c>
      <c r="E261" s="9" t="s">
        <v>634</v>
      </c>
      <c r="F261" s="14">
        <v>338</v>
      </c>
      <c r="G261" s="9" t="s">
        <v>861</v>
      </c>
      <c r="H261" s="14">
        <f t="shared" si="36"/>
        <v>2023</v>
      </c>
      <c r="I261" s="14">
        <f t="shared" si="37"/>
        <v>9</v>
      </c>
      <c r="J261" s="9" t="s">
        <v>153</v>
      </c>
      <c r="K261" s="9" t="s">
        <v>153</v>
      </c>
      <c r="L261" s="9" t="s">
        <v>343</v>
      </c>
      <c r="M261" s="14">
        <v>3</v>
      </c>
      <c r="N261" s="35">
        <v>36.49</v>
      </c>
      <c r="O261" s="9" t="s">
        <v>632</v>
      </c>
      <c r="P261" s="7" t="s">
        <v>864</v>
      </c>
      <c r="Q261" s="9" t="s">
        <v>538</v>
      </c>
      <c r="R261" s="9" t="s">
        <v>153</v>
      </c>
      <c r="S261" s="14">
        <f t="shared" si="38"/>
        <v>94</v>
      </c>
      <c r="T261" s="10">
        <v>163</v>
      </c>
      <c r="U261" s="14">
        <v>0</v>
      </c>
    </row>
    <row r="262" spans="1:21" x14ac:dyDescent="0.2">
      <c r="A262" s="7" t="s">
        <v>867</v>
      </c>
      <c r="B262" s="14">
        <v>2018</v>
      </c>
      <c r="C262" s="9" t="s">
        <v>21</v>
      </c>
      <c r="D262" s="9" t="s">
        <v>4</v>
      </c>
      <c r="E262" s="9" t="s">
        <v>634</v>
      </c>
      <c r="F262" s="14">
        <v>229</v>
      </c>
      <c r="G262" s="9" t="s">
        <v>868</v>
      </c>
      <c r="H262" s="14">
        <f t="shared" si="36"/>
        <v>2023</v>
      </c>
      <c r="I262" s="14">
        <f t="shared" si="37"/>
        <v>12</v>
      </c>
      <c r="J262" s="9" t="s">
        <v>153</v>
      </c>
      <c r="K262" s="9" t="s">
        <v>153</v>
      </c>
      <c r="L262" s="9" t="s">
        <v>341</v>
      </c>
      <c r="M262" s="14">
        <v>3</v>
      </c>
      <c r="N262" s="14">
        <v>43.99</v>
      </c>
      <c r="O262" s="9" t="s">
        <v>632</v>
      </c>
      <c r="P262" s="7" t="s">
        <v>869</v>
      </c>
      <c r="Q262" s="9" t="s">
        <v>839</v>
      </c>
      <c r="R262" s="9" t="s">
        <v>153</v>
      </c>
      <c r="S262" s="14">
        <f t="shared" si="38"/>
        <v>40</v>
      </c>
      <c r="T262" s="10">
        <v>335</v>
      </c>
      <c r="U262" s="14">
        <v>0</v>
      </c>
    </row>
    <row r="263" spans="1:21" x14ac:dyDescent="0.2">
      <c r="A263" s="7" t="s">
        <v>870</v>
      </c>
      <c r="B263" s="14">
        <v>2022</v>
      </c>
      <c r="C263" s="9" t="s">
        <v>21</v>
      </c>
      <c r="D263" s="9" t="s">
        <v>4</v>
      </c>
      <c r="E263" s="9" t="s">
        <v>634</v>
      </c>
      <c r="F263" s="14">
        <v>94</v>
      </c>
      <c r="G263" s="9" t="s">
        <v>868</v>
      </c>
      <c r="H263" s="14">
        <f t="shared" ref="H263:H265" si="39">YEAR(G263)</f>
        <v>2023</v>
      </c>
      <c r="I263" s="14">
        <f t="shared" ref="I263:I265" si="40">MONTH(G263)</f>
        <v>12</v>
      </c>
      <c r="J263" s="9" t="s">
        <v>152</v>
      </c>
      <c r="K263" s="9" t="s">
        <v>152</v>
      </c>
      <c r="L263" s="9" t="s">
        <v>341</v>
      </c>
      <c r="M263" s="14">
        <v>4</v>
      </c>
      <c r="N263" s="14">
        <v>41.99</v>
      </c>
      <c r="O263" s="9" t="s">
        <v>632</v>
      </c>
      <c r="P263" s="7" t="s">
        <v>871</v>
      </c>
      <c r="Q263" s="9" t="s">
        <v>538</v>
      </c>
      <c r="R263" s="9" t="s">
        <v>153</v>
      </c>
      <c r="S263" s="14">
        <f t="shared" si="38"/>
        <v>41</v>
      </c>
      <c r="T263" s="10">
        <v>732</v>
      </c>
      <c r="U263" s="14">
        <v>4</v>
      </c>
    </row>
    <row r="264" spans="1:21" x14ac:dyDescent="0.2">
      <c r="A264" s="7" t="s">
        <v>882</v>
      </c>
      <c r="B264" s="14">
        <v>2022</v>
      </c>
      <c r="C264" s="9" t="s">
        <v>21</v>
      </c>
      <c r="D264" s="9" t="s">
        <v>4</v>
      </c>
      <c r="E264" s="9" t="s">
        <v>634</v>
      </c>
      <c r="F264" s="14">
        <v>265</v>
      </c>
      <c r="G264" s="9" t="s">
        <v>872</v>
      </c>
      <c r="H264" s="14">
        <f t="shared" si="39"/>
        <v>2023</v>
      </c>
      <c r="I264" s="14">
        <f t="shared" si="40"/>
        <v>12</v>
      </c>
      <c r="J264" s="9" t="s">
        <v>153</v>
      </c>
      <c r="K264" s="9" t="s">
        <v>153</v>
      </c>
      <c r="L264" s="9" t="s">
        <v>341</v>
      </c>
      <c r="M264" s="14">
        <v>3</v>
      </c>
      <c r="N264" s="14">
        <v>46.99</v>
      </c>
      <c r="O264" s="9" t="s">
        <v>632</v>
      </c>
      <c r="P264" s="12" t="s">
        <v>873</v>
      </c>
      <c r="Q264" s="9" t="s">
        <v>538</v>
      </c>
      <c r="R264" s="9" t="s">
        <v>153</v>
      </c>
      <c r="S264" s="14">
        <f t="shared" si="38"/>
        <v>113</v>
      </c>
      <c r="T264" s="10">
        <v>710</v>
      </c>
      <c r="U264" s="14">
        <v>3</v>
      </c>
    </row>
    <row r="265" spans="1:21" x14ac:dyDescent="0.2">
      <c r="A265" s="7" t="s">
        <v>881</v>
      </c>
      <c r="B265" s="14">
        <v>2023</v>
      </c>
      <c r="C265" s="9" t="s">
        <v>21</v>
      </c>
      <c r="D265" s="9" t="s">
        <v>4</v>
      </c>
      <c r="E265" s="9" t="s">
        <v>634</v>
      </c>
      <c r="F265" s="14">
        <v>288</v>
      </c>
      <c r="G265" s="9" t="s">
        <v>875</v>
      </c>
      <c r="H265" s="9">
        <f t="shared" si="39"/>
        <v>2024</v>
      </c>
      <c r="I265" s="9">
        <f t="shared" si="40"/>
        <v>1</v>
      </c>
      <c r="J265" s="9" t="s">
        <v>153</v>
      </c>
      <c r="K265" s="9" t="s">
        <v>153</v>
      </c>
      <c r="L265" s="9" t="s">
        <v>341</v>
      </c>
      <c r="M265" s="14">
        <v>2</v>
      </c>
      <c r="N265" s="14">
        <v>51.99</v>
      </c>
      <c r="O265" s="9" t="s">
        <v>632</v>
      </c>
      <c r="P265" s="12" t="s">
        <v>874</v>
      </c>
      <c r="Q265" s="9" t="s">
        <v>538</v>
      </c>
      <c r="R265" s="9" t="s">
        <v>153</v>
      </c>
      <c r="S265" s="14">
        <f t="shared" si="38"/>
        <v>162</v>
      </c>
      <c r="T265" s="10">
        <v>326</v>
      </c>
      <c r="U265" s="14">
        <v>0</v>
      </c>
    </row>
    <row r="266" spans="1:21" x14ac:dyDescent="0.2">
      <c r="A266" s="7" t="s">
        <v>876</v>
      </c>
      <c r="B266" s="14">
        <v>2023</v>
      </c>
      <c r="C266" s="9" t="s">
        <v>21</v>
      </c>
      <c r="D266" s="9" t="s">
        <v>4</v>
      </c>
      <c r="E266" s="9" t="s">
        <v>634</v>
      </c>
      <c r="F266" s="14">
        <v>151</v>
      </c>
      <c r="G266" s="9" t="s">
        <v>877</v>
      </c>
      <c r="H266" s="9">
        <f t="shared" ref="H266" si="41">YEAR(G266)</f>
        <v>2024</v>
      </c>
      <c r="I266" s="9">
        <f t="shared" ref="I266" si="42">MONTH(G266)</f>
        <v>1</v>
      </c>
      <c r="J266" s="9" t="s">
        <v>153</v>
      </c>
      <c r="K266" s="9" t="s">
        <v>153</v>
      </c>
      <c r="L266" s="9" t="s">
        <v>343</v>
      </c>
      <c r="M266" s="14">
        <v>1</v>
      </c>
      <c r="N266" s="14">
        <v>30.49</v>
      </c>
      <c r="O266" s="9" t="s">
        <v>632</v>
      </c>
      <c r="P266" s="7" t="s">
        <v>878</v>
      </c>
      <c r="Q266" s="9" t="s">
        <v>442</v>
      </c>
      <c r="R266" s="9" t="s">
        <v>153</v>
      </c>
      <c r="S266" s="14">
        <f t="shared" si="38"/>
        <v>74</v>
      </c>
      <c r="T266" s="10">
        <v>164</v>
      </c>
      <c r="U266" s="14">
        <v>0</v>
      </c>
    </row>
    <row r="267" spans="1:21" x14ac:dyDescent="0.2">
      <c r="A267" s="7" t="s">
        <v>879</v>
      </c>
      <c r="B267" s="14">
        <v>2022</v>
      </c>
      <c r="C267" s="9" t="s">
        <v>21</v>
      </c>
      <c r="D267" s="9" t="s">
        <v>4</v>
      </c>
      <c r="E267" s="9" t="s">
        <v>634</v>
      </c>
      <c r="F267" s="14">
        <v>416</v>
      </c>
      <c r="G267" s="9" t="s">
        <v>877</v>
      </c>
      <c r="H267" s="9">
        <f t="shared" ref="H267:H269" si="43">YEAR(G267)</f>
        <v>2024</v>
      </c>
      <c r="I267" s="9">
        <f t="shared" ref="I267:I269" si="44">MONTH(G267)</f>
        <v>1</v>
      </c>
      <c r="J267" s="9" t="s">
        <v>153</v>
      </c>
      <c r="K267" s="9" t="s">
        <v>153</v>
      </c>
      <c r="L267" s="9" t="s">
        <v>364</v>
      </c>
      <c r="M267" s="14">
        <v>1</v>
      </c>
      <c r="N267" s="14">
        <v>49.99</v>
      </c>
      <c r="O267" s="9" t="s">
        <v>632</v>
      </c>
      <c r="P267" s="7" t="s">
        <v>880</v>
      </c>
      <c r="Q267" s="9" t="s">
        <v>442</v>
      </c>
      <c r="R267" s="9" t="s">
        <v>153</v>
      </c>
      <c r="S267" s="14">
        <f t="shared" si="38"/>
        <v>162</v>
      </c>
      <c r="T267" s="10">
        <v>95</v>
      </c>
      <c r="U267" s="14">
        <v>0</v>
      </c>
    </row>
    <row r="268" spans="1:21" x14ac:dyDescent="0.2">
      <c r="A268" s="7" t="s">
        <v>883</v>
      </c>
      <c r="B268" s="14">
        <v>2022</v>
      </c>
      <c r="C268" s="9" t="s">
        <v>21</v>
      </c>
      <c r="D268" s="9" t="s">
        <v>4</v>
      </c>
      <c r="E268" s="9" t="s">
        <v>634</v>
      </c>
      <c r="F268" s="14">
        <v>535</v>
      </c>
      <c r="G268" s="9" t="s">
        <v>884</v>
      </c>
      <c r="H268" s="9">
        <f t="shared" si="43"/>
        <v>2024</v>
      </c>
      <c r="I268" s="9">
        <f t="shared" si="44"/>
        <v>2</v>
      </c>
      <c r="J268" s="9" t="s">
        <v>153</v>
      </c>
      <c r="K268" s="9" t="s">
        <v>153</v>
      </c>
      <c r="L268" s="9" t="s">
        <v>570</v>
      </c>
      <c r="M268" s="14">
        <v>2</v>
      </c>
      <c r="N268" s="35">
        <v>0</v>
      </c>
      <c r="O268" s="9" t="s">
        <v>632</v>
      </c>
      <c r="P268" s="7" t="s">
        <v>885</v>
      </c>
      <c r="Q268" s="9" t="s">
        <v>839</v>
      </c>
      <c r="R268" s="9" t="s">
        <v>153</v>
      </c>
      <c r="S268" s="14">
        <f t="shared" si="38"/>
        <v>52</v>
      </c>
      <c r="T268" s="10">
        <v>85</v>
      </c>
      <c r="U268" s="14">
        <v>0</v>
      </c>
    </row>
    <row r="269" spans="1:21" x14ac:dyDescent="0.2">
      <c r="A269" s="7" t="s">
        <v>886</v>
      </c>
      <c r="B269" s="14">
        <v>2018</v>
      </c>
      <c r="C269" s="9" t="s">
        <v>21</v>
      </c>
      <c r="D269" s="9" t="s">
        <v>4</v>
      </c>
      <c r="E269" s="9" t="s">
        <v>634</v>
      </c>
      <c r="F269" s="14">
        <v>429</v>
      </c>
      <c r="G269" s="9" t="s">
        <v>884</v>
      </c>
      <c r="H269" s="9">
        <f t="shared" si="43"/>
        <v>2024</v>
      </c>
      <c r="I269" s="9">
        <f t="shared" si="44"/>
        <v>2</v>
      </c>
      <c r="J269" s="9" t="s">
        <v>153</v>
      </c>
      <c r="K269" s="9" t="s">
        <v>153</v>
      </c>
      <c r="L269" s="9" t="s">
        <v>421</v>
      </c>
      <c r="M269" s="14">
        <v>3</v>
      </c>
      <c r="N269" s="14">
        <v>30.39</v>
      </c>
      <c r="O269" s="9" t="s">
        <v>632</v>
      </c>
      <c r="P269" s="12" t="s">
        <v>887</v>
      </c>
      <c r="Q269" s="9" t="s">
        <v>442</v>
      </c>
      <c r="R269" s="9" t="s">
        <v>153</v>
      </c>
      <c r="S269" s="14">
        <f t="shared" si="38"/>
        <v>128</v>
      </c>
      <c r="T269" s="10">
        <v>500</v>
      </c>
      <c r="U269" s="14">
        <v>2</v>
      </c>
    </row>
    <row r="270" spans="1:21" x14ac:dyDescent="0.2">
      <c r="A270" s="7" t="s">
        <v>888</v>
      </c>
      <c r="B270" s="14">
        <v>2023</v>
      </c>
      <c r="C270" s="9" t="s">
        <v>21</v>
      </c>
      <c r="D270" s="9" t="s">
        <v>4</v>
      </c>
      <c r="E270" s="9" t="s">
        <v>634</v>
      </c>
      <c r="F270" s="14">
        <v>455</v>
      </c>
      <c r="G270" s="9" t="s">
        <v>889</v>
      </c>
      <c r="H270" s="9">
        <f t="shared" ref="H270:H271" si="45">YEAR(G270)</f>
        <v>2024</v>
      </c>
      <c r="I270" s="9">
        <f t="shared" ref="I270:I271" si="46">MONTH(G270)</f>
        <v>2</v>
      </c>
      <c r="J270" s="9" t="s">
        <v>153</v>
      </c>
      <c r="K270" s="9" t="s">
        <v>153</v>
      </c>
      <c r="L270" s="9" t="s">
        <v>345</v>
      </c>
      <c r="M270" s="14">
        <v>1</v>
      </c>
      <c r="N270" s="14">
        <v>49.99</v>
      </c>
      <c r="O270" s="9" t="s">
        <v>632</v>
      </c>
      <c r="P270" s="39" t="s">
        <v>996</v>
      </c>
      <c r="Q270" s="9" t="s">
        <v>538</v>
      </c>
      <c r="R270" s="9" t="s">
        <v>153</v>
      </c>
      <c r="S270" s="14">
        <f t="shared" si="38"/>
        <v>201</v>
      </c>
      <c r="T270" s="10">
        <v>373</v>
      </c>
      <c r="U270" s="14">
        <v>4</v>
      </c>
    </row>
    <row r="271" spans="1:21" x14ac:dyDescent="0.2">
      <c r="A271" s="7" t="s">
        <v>995</v>
      </c>
      <c r="B271" s="14">
        <v>2023</v>
      </c>
      <c r="C271" s="9" t="s">
        <v>21</v>
      </c>
      <c r="D271" s="9" t="s">
        <v>4</v>
      </c>
      <c r="E271" s="9" t="s">
        <v>634</v>
      </c>
      <c r="F271" s="14">
        <v>268</v>
      </c>
      <c r="G271" s="9" t="s">
        <v>889</v>
      </c>
      <c r="H271" s="9">
        <f t="shared" si="45"/>
        <v>2024</v>
      </c>
      <c r="I271" s="9">
        <f t="shared" si="46"/>
        <v>2</v>
      </c>
      <c r="J271" s="9" t="s">
        <v>153</v>
      </c>
      <c r="K271" s="9" t="s">
        <v>153</v>
      </c>
      <c r="L271" s="9" t="s">
        <v>345</v>
      </c>
      <c r="M271" s="14">
        <v>1</v>
      </c>
      <c r="N271" s="14">
        <v>59.99</v>
      </c>
      <c r="O271" s="9" t="s">
        <v>632</v>
      </c>
      <c r="P271" s="12" t="s">
        <v>890</v>
      </c>
      <c r="Q271" s="9" t="s">
        <v>538</v>
      </c>
      <c r="R271" s="9" t="s">
        <v>153</v>
      </c>
      <c r="S271" s="14">
        <f t="shared" si="38"/>
        <v>181</v>
      </c>
      <c r="T271" s="10">
        <v>37</v>
      </c>
      <c r="U271" s="14">
        <v>0</v>
      </c>
    </row>
    <row r="272" spans="1:21" x14ac:dyDescent="0.2">
      <c r="A272" s="7" t="s">
        <v>891</v>
      </c>
      <c r="B272" s="14">
        <v>2022</v>
      </c>
      <c r="C272" s="9" t="s">
        <v>21</v>
      </c>
      <c r="D272" s="9" t="s">
        <v>4</v>
      </c>
      <c r="E272" s="9" t="s">
        <v>634</v>
      </c>
      <c r="F272" s="14">
        <v>205</v>
      </c>
      <c r="G272" s="9" t="s">
        <v>889</v>
      </c>
      <c r="H272" s="9">
        <f t="shared" ref="H272" si="47">YEAR(G272)</f>
        <v>2024</v>
      </c>
      <c r="I272" s="9">
        <f t="shared" ref="I272" si="48">MONTH(G272)</f>
        <v>2</v>
      </c>
      <c r="J272" s="9" t="s">
        <v>153</v>
      </c>
      <c r="K272" s="9" t="s">
        <v>153</v>
      </c>
      <c r="L272" s="9" t="s">
        <v>570</v>
      </c>
      <c r="M272" s="14">
        <v>1</v>
      </c>
      <c r="N272" s="14">
        <v>22.49</v>
      </c>
      <c r="O272" s="9" t="s">
        <v>632</v>
      </c>
      <c r="P272" s="12" t="s">
        <v>892</v>
      </c>
      <c r="Q272" s="9" t="s">
        <v>538</v>
      </c>
      <c r="R272" s="9" t="s">
        <v>153</v>
      </c>
      <c r="S272" s="14">
        <f t="shared" si="38"/>
        <v>134</v>
      </c>
      <c r="T272" s="10">
        <v>0</v>
      </c>
      <c r="U272" s="14">
        <v>0</v>
      </c>
    </row>
    <row r="273" spans="1:21" ht="12" customHeight="1" x14ac:dyDescent="0.2">
      <c r="A273" s="7" t="s">
        <v>893</v>
      </c>
      <c r="B273" s="14">
        <v>2022</v>
      </c>
      <c r="C273" s="9" t="s">
        <v>21</v>
      </c>
      <c r="D273" s="9" t="s">
        <v>4</v>
      </c>
      <c r="E273" s="9" t="s">
        <v>634</v>
      </c>
      <c r="F273" s="14">
        <v>94</v>
      </c>
      <c r="G273" s="9" t="s">
        <v>889</v>
      </c>
      <c r="H273" s="9">
        <f t="shared" ref="H273" si="49">YEAR(G273)</f>
        <v>2024</v>
      </c>
      <c r="I273" s="9">
        <f t="shared" ref="I273" si="50">MONTH(G273)</f>
        <v>2</v>
      </c>
      <c r="J273" s="9" t="s">
        <v>153</v>
      </c>
      <c r="K273" s="9" t="s">
        <v>153</v>
      </c>
      <c r="L273" s="9" t="s">
        <v>348</v>
      </c>
      <c r="M273" s="14">
        <v>1</v>
      </c>
      <c r="N273" s="14">
        <v>38.880000000000003</v>
      </c>
      <c r="O273" s="9" t="s">
        <v>632</v>
      </c>
      <c r="P273" s="7" t="s">
        <v>894</v>
      </c>
      <c r="Q273" s="9" t="s">
        <v>538</v>
      </c>
      <c r="R273" s="9" t="s">
        <v>153</v>
      </c>
      <c r="S273" s="14">
        <f t="shared" si="38"/>
        <v>80</v>
      </c>
      <c r="T273" s="10">
        <v>16</v>
      </c>
      <c r="U273" s="14">
        <v>0</v>
      </c>
    </row>
    <row r="274" spans="1:21" x14ac:dyDescent="0.2">
      <c r="A274" s="7" t="s">
        <v>895</v>
      </c>
      <c r="B274" s="14">
        <v>2020</v>
      </c>
      <c r="C274" s="9" t="s">
        <v>21</v>
      </c>
      <c r="D274" s="9" t="s">
        <v>4</v>
      </c>
      <c r="E274" s="9" t="s">
        <v>634</v>
      </c>
      <c r="F274" s="14">
        <v>132</v>
      </c>
      <c r="G274" s="9" t="s">
        <v>889</v>
      </c>
      <c r="H274" s="9">
        <f t="shared" ref="H274:H275" si="51">YEAR(G274)</f>
        <v>2024</v>
      </c>
      <c r="I274" s="9">
        <f t="shared" ref="I274:I275" si="52">MONTH(G274)</f>
        <v>2</v>
      </c>
      <c r="J274" s="9" t="s">
        <v>153</v>
      </c>
      <c r="K274" s="9" t="s">
        <v>153</v>
      </c>
      <c r="L274" s="9" t="s">
        <v>570</v>
      </c>
      <c r="M274" s="14">
        <v>1</v>
      </c>
      <c r="N274" s="14">
        <v>49.99</v>
      </c>
      <c r="O274" s="9" t="s">
        <v>632</v>
      </c>
      <c r="P274" s="7" t="s">
        <v>896</v>
      </c>
      <c r="Q274" s="9" t="s">
        <v>538</v>
      </c>
      <c r="R274" s="9" t="s">
        <v>153</v>
      </c>
      <c r="S274" s="14">
        <f t="shared" si="38"/>
        <v>121</v>
      </c>
      <c r="T274" s="10">
        <v>76</v>
      </c>
      <c r="U274" s="14">
        <v>5</v>
      </c>
    </row>
    <row r="275" spans="1:21" x14ac:dyDescent="0.2">
      <c r="A275" s="7" t="s">
        <v>898</v>
      </c>
      <c r="B275" s="14">
        <v>2021</v>
      </c>
      <c r="C275" s="9" t="s">
        <v>21</v>
      </c>
      <c r="D275" s="9" t="s">
        <v>4</v>
      </c>
      <c r="E275" s="9" t="s">
        <v>634</v>
      </c>
      <c r="F275" s="14">
        <v>715</v>
      </c>
      <c r="G275" s="9" t="s">
        <v>897</v>
      </c>
      <c r="H275" s="9">
        <f t="shared" si="51"/>
        <v>2024</v>
      </c>
      <c r="I275" s="9">
        <f t="shared" si="52"/>
        <v>2</v>
      </c>
      <c r="J275" s="9" t="s">
        <v>153</v>
      </c>
      <c r="K275" s="9" t="s">
        <v>153</v>
      </c>
      <c r="L275" s="9" t="s">
        <v>341</v>
      </c>
      <c r="M275" s="14">
        <v>2</v>
      </c>
      <c r="N275" s="14">
        <v>38.24</v>
      </c>
      <c r="O275" s="9" t="s">
        <v>632</v>
      </c>
      <c r="P275" s="7" t="s">
        <v>899</v>
      </c>
      <c r="Q275" s="9" t="s">
        <v>538</v>
      </c>
      <c r="R275" s="9" t="s">
        <v>153</v>
      </c>
      <c r="S275" s="14">
        <f t="shared" si="38"/>
        <v>105</v>
      </c>
      <c r="T275" s="10">
        <v>248</v>
      </c>
      <c r="U275" s="14">
        <v>1</v>
      </c>
    </row>
    <row r="276" spans="1:21" x14ac:dyDescent="0.2">
      <c r="A276" s="7" t="s">
        <v>900</v>
      </c>
      <c r="B276" s="14">
        <v>2023</v>
      </c>
      <c r="C276" s="9" t="s">
        <v>21</v>
      </c>
      <c r="D276" s="9" t="s">
        <v>4</v>
      </c>
      <c r="E276" s="9" t="s">
        <v>634</v>
      </c>
      <c r="F276" s="14">
        <v>192</v>
      </c>
      <c r="G276" s="9" t="s">
        <v>897</v>
      </c>
      <c r="H276" s="9">
        <f t="shared" ref="H276" si="53">YEAR(G276)</f>
        <v>2024</v>
      </c>
      <c r="I276" s="9">
        <f t="shared" ref="I276" si="54">MONTH(G276)</f>
        <v>2</v>
      </c>
      <c r="J276" s="9" t="s">
        <v>153</v>
      </c>
      <c r="K276" s="9" t="s">
        <v>153</v>
      </c>
      <c r="L276" s="9" t="s">
        <v>901</v>
      </c>
      <c r="M276" s="14">
        <v>1</v>
      </c>
      <c r="N276" s="14">
        <v>54.99</v>
      </c>
      <c r="O276" s="9" t="s">
        <v>632</v>
      </c>
      <c r="P276" s="7" t="s">
        <v>902</v>
      </c>
      <c r="Q276" s="9" t="s">
        <v>538</v>
      </c>
      <c r="R276" s="9" t="s">
        <v>153</v>
      </c>
      <c r="S276" s="14">
        <f t="shared" si="38"/>
        <v>142</v>
      </c>
      <c r="T276" s="10">
        <v>21</v>
      </c>
      <c r="U276" s="14">
        <v>0</v>
      </c>
    </row>
    <row r="277" spans="1:21" x14ac:dyDescent="0.2">
      <c r="A277" s="7" t="s">
        <v>903</v>
      </c>
      <c r="B277" s="14">
        <v>2024</v>
      </c>
      <c r="C277" s="9" t="s">
        <v>21</v>
      </c>
      <c r="D277" s="9" t="s">
        <v>4</v>
      </c>
      <c r="E277" s="9" t="s">
        <v>634</v>
      </c>
      <c r="F277" s="14">
        <v>139</v>
      </c>
      <c r="G277" s="9" t="s">
        <v>897</v>
      </c>
      <c r="H277" s="9">
        <f t="shared" ref="H277" si="55">YEAR(G277)</f>
        <v>2024</v>
      </c>
      <c r="I277" s="9">
        <f t="shared" ref="I277" si="56">MONTH(G277)</f>
        <v>2</v>
      </c>
      <c r="J277" s="9" t="s">
        <v>153</v>
      </c>
      <c r="K277" s="9" t="s">
        <v>153</v>
      </c>
      <c r="L277" s="9" t="s">
        <v>904</v>
      </c>
      <c r="M277" s="14">
        <v>1</v>
      </c>
      <c r="N277" s="14">
        <v>59.95</v>
      </c>
      <c r="O277" s="9" t="s">
        <v>632</v>
      </c>
      <c r="P277" s="7" t="s">
        <v>905</v>
      </c>
      <c r="Q277" s="9" t="s">
        <v>538</v>
      </c>
      <c r="R277" s="9" t="s">
        <v>153</v>
      </c>
      <c r="S277" s="14">
        <f t="shared" si="38"/>
        <v>138</v>
      </c>
      <c r="T277" s="10">
        <v>44</v>
      </c>
      <c r="U277" s="14">
        <v>0</v>
      </c>
    </row>
    <row r="278" spans="1:21" x14ac:dyDescent="0.2">
      <c r="A278" s="7" t="s">
        <v>906</v>
      </c>
      <c r="B278" s="14">
        <v>2023</v>
      </c>
      <c r="C278" s="9" t="s">
        <v>21</v>
      </c>
      <c r="D278" s="9" t="s">
        <v>4</v>
      </c>
      <c r="E278" s="9" t="s">
        <v>634</v>
      </c>
      <c r="F278" s="14">
        <v>963</v>
      </c>
      <c r="G278" s="9" t="s">
        <v>897</v>
      </c>
      <c r="H278" s="9">
        <f t="shared" ref="H278" si="57">YEAR(G278)</f>
        <v>2024</v>
      </c>
      <c r="I278" s="9">
        <f t="shared" ref="I278" si="58">MONTH(G278)</f>
        <v>2</v>
      </c>
      <c r="J278" s="9" t="s">
        <v>153</v>
      </c>
      <c r="K278" s="9" t="s">
        <v>153</v>
      </c>
      <c r="L278" s="9" t="s">
        <v>343</v>
      </c>
      <c r="M278" s="14">
        <v>3</v>
      </c>
      <c r="N278" s="14">
        <v>65.23</v>
      </c>
      <c r="O278" s="9" t="s">
        <v>632</v>
      </c>
      <c r="P278" s="7" t="s">
        <v>907</v>
      </c>
      <c r="Q278" s="9" t="s">
        <v>538</v>
      </c>
      <c r="R278" s="9" t="s">
        <v>153</v>
      </c>
      <c r="S278" s="14">
        <f t="shared" si="38"/>
        <v>90</v>
      </c>
      <c r="T278" s="10">
        <v>315</v>
      </c>
      <c r="U278" s="14">
        <v>0</v>
      </c>
    </row>
    <row r="279" spans="1:21" x14ac:dyDescent="0.2">
      <c r="A279" s="7" t="s">
        <v>908</v>
      </c>
      <c r="B279" s="14">
        <v>2024</v>
      </c>
      <c r="C279" s="9" t="s">
        <v>21</v>
      </c>
      <c r="D279" s="9" t="s">
        <v>4</v>
      </c>
      <c r="E279" s="9" t="s">
        <v>634</v>
      </c>
      <c r="F279" s="14">
        <v>229</v>
      </c>
      <c r="G279" s="9" t="s">
        <v>897</v>
      </c>
      <c r="H279" s="9">
        <f t="shared" ref="H279:H280" si="59">YEAR(G279)</f>
        <v>2024</v>
      </c>
      <c r="I279" s="9">
        <f t="shared" ref="I279:I280" si="60">MONTH(G279)</f>
        <v>2</v>
      </c>
      <c r="J279" s="9" t="s">
        <v>153</v>
      </c>
      <c r="K279" s="9" t="s">
        <v>152</v>
      </c>
      <c r="L279" s="9" t="s">
        <v>901</v>
      </c>
      <c r="M279" s="14">
        <v>2</v>
      </c>
      <c r="N279" s="14">
        <v>54.99</v>
      </c>
      <c r="O279" s="9" t="s">
        <v>632</v>
      </c>
      <c r="P279" s="7" t="s">
        <v>909</v>
      </c>
      <c r="Q279" s="9" t="s">
        <v>538</v>
      </c>
      <c r="R279" s="9" t="s">
        <v>153</v>
      </c>
      <c r="S279" s="14">
        <f t="shared" si="38"/>
        <v>75</v>
      </c>
      <c r="T279" s="10">
        <v>123</v>
      </c>
      <c r="U279" s="14">
        <v>0</v>
      </c>
    </row>
    <row r="280" spans="1:21" x14ac:dyDescent="0.2">
      <c r="A280" s="7" t="s">
        <v>910</v>
      </c>
      <c r="B280" s="14">
        <v>2018</v>
      </c>
      <c r="C280" s="9" t="s">
        <v>21</v>
      </c>
      <c r="D280" s="9" t="s">
        <v>4</v>
      </c>
      <c r="E280" s="9" t="s">
        <v>634</v>
      </c>
      <c r="F280" s="14">
        <v>978</v>
      </c>
      <c r="G280" s="9" t="s">
        <v>911</v>
      </c>
      <c r="H280" s="9">
        <f t="shared" si="59"/>
        <v>2024</v>
      </c>
      <c r="I280" s="9">
        <f t="shared" si="60"/>
        <v>2</v>
      </c>
      <c r="J280" s="9" t="s">
        <v>153</v>
      </c>
      <c r="K280" s="9" t="s">
        <v>153</v>
      </c>
      <c r="L280" s="9" t="s">
        <v>341</v>
      </c>
      <c r="M280" s="14">
        <v>2</v>
      </c>
      <c r="N280" s="14">
        <v>33.99</v>
      </c>
      <c r="O280" s="9" t="s">
        <v>632</v>
      </c>
      <c r="P280" s="7" t="s">
        <v>912</v>
      </c>
      <c r="Q280" s="9" t="s">
        <v>538</v>
      </c>
      <c r="R280" s="9" t="s">
        <v>153</v>
      </c>
      <c r="S280" s="14">
        <f t="shared" si="38"/>
        <v>125</v>
      </c>
      <c r="T280" s="10">
        <v>146</v>
      </c>
      <c r="U280" s="14">
        <v>0</v>
      </c>
    </row>
    <row r="281" spans="1:21" x14ac:dyDescent="0.2">
      <c r="A281" s="7" t="s">
        <v>913</v>
      </c>
      <c r="B281" s="14">
        <v>2022</v>
      </c>
      <c r="C281" s="9" t="s">
        <v>21</v>
      </c>
      <c r="D281" s="9" t="s">
        <v>4</v>
      </c>
      <c r="E281" s="9" t="s">
        <v>634</v>
      </c>
      <c r="F281" s="14">
        <v>264</v>
      </c>
      <c r="G281" s="9" t="s">
        <v>911</v>
      </c>
      <c r="H281" s="9">
        <f t="shared" ref="H281" si="61">YEAR(G281)</f>
        <v>2024</v>
      </c>
      <c r="I281" s="9">
        <f t="shared" ref="I281" si="62">MONTH(G281)</f>
        <v>2</v>
      </c>
      <c r="J281" s="9" t="s">
        <v>153</v>
      </c>
      <c r="K281" s="9" t="s">
        <v>153</v>
      </c>
      <c r="L281" s="9" t="s">
        <v>362</v>
      </c>
      <c r="M281" s="14">
        <v>3</v>
      </c>
      <c r="N281" s="14">
        <v>39.49</v>
      </c>
      <c r="O281" s="9" t="s">
        <v>632</v>
      </c>
      <c r="P281" s="7" t="s">
        <v>914</v>
      </c>
      <c r="Q281" s="9" t="s">
        <v>538</v>
      </c>
      <c r="R281" s="9" t="s">
        <v>153</v>
      </c>
      <c r="S281" s="14">
        <f t="shared" si="38"/>
        <v>59</v>
      </c>
      <c r="T281" s="10">
        <v>85</v>
      </c>
      <c r="U281" s="14">
        <v>0</v>
      </c>
    </row>
    <row r="282" spans="1:21" x14ac:dyDescent="0.2">
      <c r="A282" s="7" t="s">
        <v>915</v>
      </c>
      <c r="B282" s="14">
        <v>2022</v>
      </c>
      <c r="C282" s="9" t="s">
        <v>21</v>
      </c>
      <c r="D282" s="9" t="s">
        <v>4</v>
      </c>
      <c r="E282" s="9" t="s">
        <v>634</v>
      </c>
      <c r="F282" s="14">
        <v>243</v>
      </c>
      <c r="G282" s="9" t="s">
        <v>911</v>
      </c>
      <c r="H282" s="9">
        <f t="shared" ref="H282:H285" si="63">YEAR(G282)</f>
        <v>2024</v>
      </c>
      <c r="I282" s="9">
        <f t="shared" ref="I282" si="64">MONTH(G282)</f>
        <v>2</v>
      </c>
      <c r="J282" s="9" t="s">
        <v>152</v>
      </c>
      <c r="K282" s="9" t="s">
        <v>153</v>
      </c>
      <c r="L282" s="9" t="s">
        <v>904</v>
      </c>
      <c r="M282" s="14">
        <v>4</v>
      </c>
      <c r="N282" s="14">
        <v>48.95</v>
      </c>
      <c r="O282" s="9" t="s">
        <v>632</v>
      </c>
      <c r="P282" s="7" t="s">
        <v>916</v>
      </c>
      <c r="Q282" s="9" t="s">
        <v>538</v>
      </c>
      <c r="R282" s="9" t="s">
        <v>153</v>
      </c>
      <c r="S282" s="14">
        <f t="shared" si="38"/>
        <v>140</v>
      </c>
      <c r="T282" s="10">
        <v>350</v>
      </c>
      <c r="U282" s="14">
        <v>0</v>
      </c>
    </row>
    <row r="283" spans="1:21" x14ac:dyDescent="0.2">
      <c r="A283" s="7" t="s">
        <v>917</v>
      </c>
      <c r="B283" s="14">
        <v>2024</v>
      </c>
      <c r="C283" s="9" t="s">
        <v>21</v>
      </c>
      <c r="D283" s="9" t="s">
        <v>4</v>
      </c>
      <c r="E283" s="9" t="s">
        <v>634</v>
      </c>
      <c r="F283" s="14">
        <v>337</v>
      </c>
      <c r="G283" s="9" t="s">
        <v>918</v>
      </c>
      <c r="H283" s="9">
        <f t="shared" si="63"/>
        <v>2024</v>
      </c>
      <c r="I283" s="9">
        <f t="shared" ref="I283:I289" si="65">MONTH(G283)</f>
        <v>5</v>
      </c>
      <c r="J283" s="9" t="s">
        <v>153</v>
      </c>
      <c r="K283" s="9" t="s">
        <v>153</v>
      </c>
      <c r="L283" s="9" t="s">
        <v>352</v>
      </c>
      <c r="M283" s="14">
        <v>1</v>
      </c>
      <c r="N283" s="14">
        <v>24.99</v>
      </c>
      <c r="O283" s="9" t="s">
        <v>632</v>
      </c>
      <c r="P283" s="7" t="s">
        <v>920</v>
      </c>
      <c r="Q283" s="9" t="s">
        <v>919</v>
      </c>
      <c r="R283" s="9" t="s">
        <v>153</v>
      </c>
      <c r="S283" s="14">
        <f t="shared" si="38"/>
        <v>168</v>
      </c>
      <c r="T283" s="10">
        <v>317</v>
      </c>
      <c r="U283" s="14">
        <v>3</v>
      </c>
    </row>
    <row r="284" spans="1:21" x14ac:dyDescent="0.2">
      <c r="A284" s="7" t="s">
        <v>921</v>
      </c>
      <c r="B284" s="14">
        <v>2024</v>
      </c>
      <c r="C284" s="9" t="s">
        <v>21</v>
      </c>
      <c r="D284" s="9" t="s">
        <v>4</v>
      </c>
      <c r="E284" s="9" t="s">
        <v>634</v>
      </c>
      <c r="F284" s="14">
        <v>253</v>
      </c>
      <c r="G284" s="9" t="s">
        <v>918</v>
      </c>
      <c r="H284" s="9">
        <f t="shared" si="63"/>
        <v>2024</v>
      </c>
      <c r="I284" s="9">
        <f t="shared" si="65"/>
        <v>5</v>
      </c>
      <c r="J284" s="9" t="s">
        <v>153</v>
      </c>
      <c r="K284" s="9" t="s">
        <v>153</v>
      </c>
      <c r="L284" s="9" t="s">
        <v>352</v>
      </c>
      <c r="M284" s="14">
        <v>1</v>
      </c>
      <c r="N284" s="14">
        <v>24.99</v>
      </c>
      <c r="O284" s="9" t="s">
        <v>632</v>
      </c>
      <c r="P284" s="7" t="s">
        <v>922</v>
      </c>
      <c r="Q284" s="9" t="s">
        <v>919</v>
      </c>
      <c r="R284" s="9" t="s">
        <v>153</v>
      </c>
      <c r="S284" s="14">
        <f t="shared" si="38"/>
        <v>99</v>
      </c>
      <c r="T284" s="10">
        <v>28</v>
      </c>
      <c r="U284" s="14">
        <v>0</v>
      </c>
    </row>
    <row r="285" spans="1:21" x14ac:dyDescent="0.2">
      <c r="A285" s="7" t="s">
        <v>924</v>
      </c>
      <c r="B285" s="14">
        <v>2024</v>
      </c>
      <c r="C285" s="9" t="s">
        <v>21</v>
      </c>
      <c r="D285" s="9" t="s">
        <v>4</v>
      </c>
      <c r="E285" s="9" t="s">
        <v>634</v>
      </c>
      <c r="F285" s="14">
        <v>316</v>
      </c>
      <c r="G285" s="9" t="s">
        <v>925</v>
      </c>
      <c r="H285" s="9">
        <f t="shared" si="63"/>
        <v>2024</v>
      </c>
      <c r="I285" s="9">
        <f t="shared" si="65"/>
        <v>6</v>
      </c>
      <c r="J285" s="9" t="s">
        <v>153</v>
      </c>
      <c r="K285" s="9" t="s">
        <v>153</v>
      </c>
      <c r="L285" s="9" t="s">
        <v>341</v>
      </c>
      <c r="M285" s="14">
        <v>3</v>
      </c>
      <c r="N285" s="14">
        <v>44.99</v>
      </c>
      <c r="O285" s="9" t="s">
        <v>632</v>
      </c>
      <c r="P285" s="7" t="s">
        <v>926</v>
      </c>
      <c r="Q285" s="9" t="s">
        <v>919</v>
      </c>
      <c r="R285" s="9" t="s">
        <v>153</v>
      </c>
      <c r="S285" s="14">
        <f t="shared" si="38"/>
        <v>280</v>
      </c>
      <c r="T285" s="10">
        <v>236</v>
      </c>
      <c r="U285" s="14">
        <v>1</v>
      </c>
    </row>
    <row r="286" spans="1:21" x14ac:dyDescent="0.2">
      <c r="A286" s="7" t="s">
        <v>1154</v>
      </c>
      <c r="B286" s="14">
        <v>2024</v>
      </c>
      <c r="C286" s="9" t="s">
        <v>21</v>
      </c>
      <c r="D286" s="9" t="s">
        <v>4</v>
      </c>
      <c r="E286" s="9" t="s">
        <v>634</v>
      </c>
      <c r="F286" s="14">
        <v>112</v>
      </c>
      <c r="G286" s="9" t="s">
        <v>925</v>
      </c>
      <c r="H286" s="9">
        <f t="shared" ref="H286" si="66">YEAR(G286)</f>
        <v>2024</v>
      </c>
      <c r="I286" s="9">
        <f t="shared" si="65"/>
        <v>6</v>
      </c>
      <c r="J286" s="9" t="s">
        <v>153</v>
      </c>
      <c r="K286" s="9" t="s">
        <v>153</v>
      </c>
      <c r="L286" s="9" t="s">
        <v>952</v>
      </c>
      <c r="M286" s="14">
        <v>3</v>
      </c>
      <c r="N286" s="35">
        <v>0</v>
      </c>
      <c r="O286" s="9" t="s">
        <v>632</v>
      </c>
      <c r="P286" s="7" t="s">
        <v>927</v>
      </c>
      <c r="Q286" s="9" t="s">
        <v>923</v>
      </c>
      <c r="R286" s="9" t="s">
        <v>153</v>
      </c>
      <c r="S286" s="14">
        <f t="shared" si="38"/>
        <v>84</v>
      </c>
      <c r="T286" s="10">
        <v>286</v>
      </c>
      <c r="U286" s="14">
        <v>4</v>
      </c>
    </row>
    <row r="287" spans="1:21" x14ac:dyDescent="0.2">
      <c r="A287" s="7" t="s">
        <v>928</v>
      </c>
      <c r="B287" s="14">
        <v>2024</v>
      </c>
      <c r="C287" s="9" t="s">
        <v>21</v>
      </c>
      <c r="D287" s="9" t="s">
        <v>4</v>
      </c>
      <c r="E287" s="9" t="s">
        <v>634</v>
      </c>
      <c r="F287" s="14">
        <v>1779</v>
      </c>
      <c r="G287" s="9" t="s">
        <v>925</v>
      </c>
      <c r="H287" s="9">
        <f t="shared" ref="H287:H289" si="67">YEAR(G287)</f>
        <v>2024</v>
      </c>
      <c r="I287" s="9">
        <f t="shared" si="65"/>
        <v>6</v>
      </c>
      <c r="J287" s="9" t="s">
        <v>153</v>
      </c>
      <c r="K287" s="9" t="s">
        <v>153</v>
      </c>
      <c r="L287" s="9" t="s">
        <v>341</v>
      </c>
      <c r="M287" s="14">
        <v>3</v>
      </c>
      <c r="N287" s="14">
        <v>40.549999999999997</v>
      </c>
      <c r="O287" s="9" t="s">
        <v>632</v>
      </c>
      <c r="P287" s="7" t="s">
        <v>929</v>
      </c>
      <c r="Q287" s="9" t="s">
        <v>923</v>
      </c>
      <c r="R287" s="9" t="s">
        <v>153</v>
      </c>
      <c r="S287" s="14">
        <f t="shared" si="38"/>
        <v>152</v>
      </c>
      <c r="T287" s="10">
        <v>258</v>
      </c>
      <c r="U287" s="14">
        <v>0</v>
      </c>
    </row>
    <row r="288" spans="1:21" x14ac:dyDescent="0.2">
      <c r="A288" s="7" t="s">
        <v>930</v>
      </c>
      <c r="B288" s="14">
        <v>2022</v>
      </c>
      <c r="C288" s="9" t="s">
        <v>21</v>
      </c>
      <c r="D288" s="9" t="s">
        <v>4</v>
      </c>
      <c r="E288" s="9" t="s">
        <v>634</v>
      </c>
      <c r="F288" s="14">
        <v>365</v>
      </c>
      <c r="G288" s="9" t="s">
        <v>931</v>
      </c>
      <c r="H288" s="9">
        <f t="shared" si="67"/>
        <v>2024</v>
      </c>
      <c r="I288" s="9">
        <f t="shared" si="65"/>
        <v>6</v>
      </c>
      <c r="J288" s="9" t="s">
        <v>153</v>
      </c>
      <c r="K288" s="9" t="s">
        <v>153</v>
      </c>
      <c r="L288" s="9" t="s">
        <v>341</v>
      </c>
      <c r="M288" s="14">
        <v>1</v>
      </c>
      <c r="N288" s="14">
        <v>49.15</v>
      </c>
      <c r="O288" s="9" t="s">
        <v>632</v>
      </c>
      <c r="P288" s="12" t="s">
        <v>932</v>
      </c>
      <c r="Q288" s="9" t="s">
        <v>1199</v>
      </c>
      <c r="R288" s="9" t="s">
        <v>153</v>
      </c>
      <c r="S288" s="14">
        <f t="shared" si="38"/>
        <v>160</v>
      </c>
      <c r="T288" s="10">
        <v>78</v>
      </c>
      <c r="U288" s="14">
        <v>0</v>
      </c>
    </row>
    <row r="289" spans="1:21" x14ac:dyDescent="0.2">
      <c r="A289" s="7" t="s">
        <v>933</v>
      </c>
      <c r="B289" s="14">
        <v>2023</v>
      </c>
      <c r="C289" s="9" t="s">
        <v>21</v>
      </c>
      <c r="D289" s="9" t="s">
        <v>4</v>
      </c>
      <c r="E289" s="9" t="s">
        <v>634</v>
      </c>
      <c r="F289" s="14">
        <v>340</v>
      </c>
      <c r="G289" s="9" t="s">
        <v>934</v>
      </c>
      <c r="H289" s="9">
        <f t="shared" si="67"/>
        <v>2024</v>
      </c>
      <c r="I289" s="9">
        <f t="shared" si="65"/>
        <v>7</v>
      </c>
      <c r="J289" s="9" t="s">
        <v>153</v>
      </c>
      <c r="K289" s="9" t="s">
        <v>153</v>
      </c>
      <c r="L289" s="9" t="s">
        <v>345</v>
      </c>
      <c r="M289" s="14">
        <v>2</v>
      </c>
      <c r="N289" s="14">
        <v>50.21</v>
      </c>
      <c r="O289" s="9" t="s">
        <v>632</v>
      </c>
      <c r="P289" s="7" t="s">
        <v>935</v>
      </c>
      <c r="Q289" s="9" t="s">
        <v>442</v>
      </c>
      <c r="R289" s="9" t="s">
        <v>153</v>
      </c>
      <c r="S289" s="14">
        <f t="shared" si="38"/>
        <v>64</v>
      </c>
      <c r="T289" s="10">
        <v>358</v>
      </c>
      <c r="U289" s="14">
        <v>0</v>
      </c>
    </row>
    <row r="290" spans="1:21" x14ac:dyDescent="0.2">
      <c r="A290" s="7" t="s">
        <v>936</v>
      </c>
      <c r="B290" s="14">
        <v>2023</v>
      </c>
      <c r="C290" s="9" t="s">
        <v>21</v>
      </c>
      <c r="D290" s="9" t="s">
        <v>4</v>
      </c>
      <c r="E290" s="9" t="s">
        <v>634</v>
      </c>
      <c r="F290" s="14">
        <v>600</v>
      </c>
      <c r="G290" s="9" t="s">
        <v>937</v>
      </c>
      <c r="H290" s="9">
        <f t="shared" ref="H290" si="68">YEAR(G290)</f>
        <v>2024</v>
      </c>
      <c r="I290" s="9">
        <f t="shared" ref="I290" si="69">MONTH(G290)</f>
        <v>7</v>
      </c>
      <c r="J290" s="9" t="s">
        <v>153</v>
      </c>
      <c r="K290" s="9" t="s">
        <v>153</v>
      </c>
      <c r="L290" s="9" t="s">
        <v>341</v>
      </c>
      <c r="M290" s="14">
        <v>2</v>
      </c>
      <c r="N290" s="14">
        <v>43.13</v>
      </c>
      <c r="O290" s="9" t="s">
        <v>632</v>
      </c>
      <c r="P290" s="7" t="s">
        <v>938</v>
      </c>
      <c r="Q290" s="9" t="s">
        <v>442</v>
      </c>
      <c r="R290" s="9" t="s">
        <v>153</v>
      </c>
      <c r="S290" s="14">
        <f t="shared" si="38"/>
        <v>106</v>
      </c>
      <c r="T290" s="10">
        <v>487</v>
      </c>
      <c r="U290" s="14">
        <v>1</v>
      </c>
    </row>
    <row r="291" spans="1:21" x14ac:dyDescent="0.2">
      <c r="A291" s="7" t="s">
        <v>939</v>
      </c>
      <c r="B291" s="14">
        <v>2024</v>
      </c>
      <c r="C291" s="9" t="s">
        <v>21</v>
      </c>
      <c r="D291" s="9" t="s">
        <v>4</v>
      </c>
      <c r="E291" s="9" t="s">
        <v>634</v>
      </c>
      <c r="F291" s="14">
        <v>289</v>
      </c>
      <c r="G291" s="9" t="s">
        <v>937</v>
      </c>
      <c r="H291" s="9">
        <f t="shared" ref="H291" si="70">YEAR(G291)</f>
        <v>2024</v>
      </c>
      <c r="I291" s="9">
        <f t="shared" ref="I291" si="71">MONTH(G291)</f>
        <v>7</v>
      </c>
      <c r="J291" s="9" t="s">
        <v>153</v>
      </c>
      <c r="K291" s="9" t="s">
        <v>153</v>
      </c>
      <c r="L291" s="9" t="s">
        <v>346</v>
      </c>
      <c r="M291" s="14">
        <v>1</v>
      </c>
      <c r="N291" s="14">
        <v>49.71</v>
      </c>
      <c r="O291" s="9" t="s">
        <v>632</v>
      </c>
      <c r="P291" s="7" t="s">
        <v>940</v>
      </c>
      <c r="Q291" s="9" t="s">
        <v>538</v>
      </c>
      <c r="R291" s="9" t="s">
        <v>153</v>
      </c>
      <c r="S291" s="14">
        <f t="shared" si="38"/>
        <v>224</v>
      </c>
      <c r="T291" s="10">
        <v>58</v>
      </c>
      <c r="U291" s="14">
        <v>0</v>
      </c>
    </row>
    <row r="292" spans="1:21" x14ac:dyDescent="0.2">
      <c r="A292" s="7" t="s">
        <v>941</v>
      </c>
      <c r="B292" s="14">
        <v>2024</v>
      </c>
      <c r="C292" s="9" t="s">
        <v>21</v>
      </c>
      <c r="D292" s="9" t="s">
        <v>4</v>
      </c>
      <c r="E292" s="9" t="s">
        <v>634</v>
      </c>
      <c r="F292" s="14">
        <v>198</v>
      </c>
      <c r="G292" s="9" t="s">
        <v>937</v>
      </c>
      <c r="H292" s="9">
        <f t="shared" ref="H292" si="72">YEAR(G292)</f>
        <v>2024</v>
      </c>
      <c r="I292" s="9">
        <f t="shared" ref="I292" si="73">MONTH(G292)</f>
        <v>7</v>
      </c>
      <c r="J292" s="9" t="s">
        <v>153</v>
      </c>
      <c r="K292" s="9" t="s">
        <v>153</v>
      </c>
      <c r="L292" s="9" t="s">
        <v>343</v>
      </c>
      <c r="M292" s="14">
        <v>2</v>
      </c>
      <c r="N292" s="14">
        <v>22.94</v>
      </c>
      <c r="O292" s="9" t="s">
        <v>632</v>
      </c>
      <c r="P292" s="12" t="s">
        <v>942</v>
      </c>
      <c r="Q292" s="9" t="s">
        <v>923</v>
      </c>
      <c r="R292" s="9" t="s">
        <v>153</v>
      </c>
      <c r="S292" s="14">
        <f t="shared" si="38"/>
        <v>233</v>
      </c>
      <c r="T292" s="10">
        <v>134</v>
      </c>
      <c r="U292" s="14">
        <v>2</v>
      </c>
    </row>
    <row r="293" spans="1:21" x14ac:dyDescent="0.2">
      <c r="A293" s="7" t="s">
        <v>943</v>
      </c>
      <c r="B293" s="14">
        <v>2024</v>
      </c>
      <c r="C293" s="9" t="s">
        <v>21</v>
      </c>
      <c r="D293" s="9" t="s">
        <v>4</v>
      </c>
      <c r="E293" s="9" t="s">
        <v>634</v>
      </c>
      <c r="F293" s="14">
        <v>224</v>
      </c>
      <c r="G293" s="9" t="s">
        <v>937</v>
      </c>
      <c r="H293" s="9">
        <f t="shared" ref="H293" si="74">YEAR(G293)</f>
        <v>2024</v>
      </c>
      <c r="I293" s="9">
        <f t="shared" ref="I293" si="75">MONTH(G293)</f>
        <v>7</v>
      </c>
      <c r="J293" s="9" t="s">
        <v>153</v>
      </c>
      <c r="K293" s="9" t="s">
        <v>153</v>
      </c>
      <c r="L293" s="9" t="s">
        <v>352</v>
      </c>
      <c r="M293" s="14">
        <v>1</v>
      </c>
      <c r="N293" s="14">
        <v>16.690000000000001</v>
      </c>
      <c r="O293" s="9" t="s">
        <v>632</v>
      </c>
      <c r="P293" s="12" t="s">
        <v>944</v>
      </c>
      <c r="Q293" s="9" t="s">
        <v>923</v>
      </c>
      <c r="R293" s="9" t="s">
        <v>153</v>
      </c>
      <c r="S293" s="14">
        <f t="shared" si="38"/>
        <v>186</v>
      </c>
      <c r="T293" s="10">
        <v>66</v>
      </c>
      <c r="U293" s="14">
        <v>0</v>
      </c>
    </row>
    <row r="294" spans="1:21" x14ac:dyDescent="0.2">
      <c r="A294" s="7" t="s">
        <v>945</v>
      </c>
      <c r="B294" s="14">
        <v>2022</v>
      </c>
      <c r="C294" s="9" t="s">
        <v>21</v>
      </c>
      <c r="D294" s="9" t="s">
        <v>4</v>
      </c>
      <c r="E294" s="9" t="s">
        <v>634</v>
      </c>
      <c r="F294" s="14">
        <v>296</v>
      </c>
      <c r="G294" s="9" t="s">
        <v>946</v>
      </c>
      <c r="H294" s="9">
        <f t="shared" ref="H294" si="76">YEAR(G294)</f>
        <v>2024</v>
      </c>
      <c r="I294" s="9">
        <f t="shared" ref="I294" si="77">MONTH(G294)</f>
        <v>7</v>
      </c>
      <c r="J294" s="9" t="s">
        <v>153</v>
      </c>
      <c r="K294" s="9" t="s">
        <v>153</v>
      </c>
      <c r="L294" s="9" t="s">
        <v>343</v>
      </c>
      <c r="M294" s="14">
        <v>3</v>
      </c>
      <c r="N294" s="14">
        <v>31.99</v>
      </c>
      <c r="O294" s="9" t="s">
        <v>632</v>
      </c>
      <c r="P294" s="12" t="s">
        <v>947</v>
      </c>
      <c r="Q294" s="9" t="s">
        <v>923</v>
      </c>
      <c r="R294" s="9" t="s">
        <v>153</v>
      </c>
      <c r="S294" s="14">
        <f t="shared" ref="S294" si="78">LEN(P294)</f>
        <v>98</v>
      </c>
      <c r="T294" s="10">
        <v>184</v>
      </c>
      <c r="U294" s="14">
        <v>2</v>
      </c>
    </row>
    <row r="295" spans="1:21" x14ac:dyDescent="0.2">
      <c r="A295" s="7" t="s">
        <v>948</v>
      </c>
      <c r="B295" s="14">
        <v>2023</v>
      </c>
      <c r="C295" s="9" t="s">
        <v>21</v>
      </c>
      <c r="D295" s="9" t="s">
        <v>4</v>
      </c>
      <c r="E295" s="9" t="s">
        <v>634</v>
      </c>
      <c r="F295" s="14">
        <v>200</v>
      </c>
      <c r="G295" s="9" t="s">
        <v>949</v>
      </c>
      <c r="H295" s="9">
        <f t="shared" ref="H295" si="79">YEAR(G295)</f>
        <v>2024</v>
      </c>
      <c r="I295" s="9">
        <f t="shared" ref="I295" si="80">MONTH(G295)</f>
        <v>7</v>
      </c>
      <c r="J295" s="9" t="s">
        <v>153</v>
      </c>
      <c r="K295" s="9" t="s">
        <v>153</v>
      </c>
      <c r="L295" s="9" t="s">
        <v>346</v>
      </c>
      <c r="M295" s="14">
        <v>3</v>
      </c>
      <c r="N295" s="14">
        <v>27.99</v>
      </c>
      <c r="O295" s="9" t="s">
        <v>632</v>
      </c>
      <c r="P295" s="12" t="s">
        <v>950</v>
      </c>
      <c r="Q295" s="9" t="s">
        <v>923</v>
      </c>
      <c r="R295" s="9" t="s">
        <v>153</v>
      </c>
      <c r="S295" s="14">
        <f t="shared" ref="S295" si="81">LEN(P295)</f>
        <v>57</v>
      </c>
      <c r="T295" s="10">
        <v>478</v>
      </c>
      <c r="U295" s="14">
        <v>0</v>
      </c>
    </row>
    <row r="296" spans="1:21" x14ac:dyDescent="0.2">
      <c r="A296" s="7" t="s">
        <v>951</v>
      </c>
      <c r="B296" s="14">
        <v>2023</v>
      </c>
      <c r="C296" s="9" t="s">
        <v>21</v>
      </c>
      <c r="D296" s="9" t="s">
        <v>4</v>
      </c>
      <c r="E296" s="9" t="s">
        <v>634</v>
      </c>
      <c r="F296" s="14">
        <v>255</v>
      </c>
      <c r="G296" s="9" t="s">
        <v>949</v>
      </c>
      <c r="H296" s="9">
        <f t="shared" ref="H296" si="82">YEAR(G296)</f>
        <v>2024</v>
      </c>
      <c r="I296" s="9">
        <f t="shared" ref="I296" si="83">MONTH(G296)</f>
        <v>7</v>
      </c>
      <c r="J296" s="9" t="s">
        <v>153</v>
      </c>
      <c r="K296" s="9" t="s">
        <v>153</v>
      </c>
      <c r="L296" s="9" t="s">
        <v>570</v>
      </c>
      <c r="M296" s="14">
        <v>3</v>
      </c>
      <c r="N296" s="35">
        <v>49</v>
      </c>
      <c r="O296" s="9" t="s">
        <v>632</v>
      </c>
      <c r="P296" s="12" t="s">
        <v>953</v>
      </c>
      <c r="Q296" s="9" t="s">
        <v>442</v>
      </c>
      <c r="R296" s="9" t="s">
        <v>153</v>
      </c>
      <c r="S296" s="14">
        <f t="shared" ref="S296" si="84">LEN(P296)</f>
        <v>84</v>
      </c>
      <c r="T296" s="10">
        <v>148</v>
      </c>
      <c r="U296" s="14">
        <v>0</v>
      </c>
    </row>
    <row r="297" spans="1:21" x14ac:dyDescent="0.2">
      <c r="A297" s="7" t="s">
        <v>954</v>
      </c>
      <c r="B297" s="14">
        <v>2023</v>
      </c>
      <c r="C297" s="9" t="s">
        <v>21</v>
      </c>
      <c r="D297" s="9" t="s">
        <v>4</v>
      </c>
      <c r="E297" s="9" t="s">
        <v>634</v>
      </c>
      <c r="F297" s="14">
        <v>192</v>
      </c>
      <c r="G297" s="9" t="s">
        <v>949</v>
      </c>
      <c r="H297" s="9">
        <f t="shared" ref="H297" si="85">YEAR(G297)</f>
        <v>2024</v>
      </c>
      <c r="I297" s="9">
        <f t="shared" ref="I297" si="86">MONTH(G297)</f>
        <v>7</v>
      </c>
      <c r="J297" s="9" t="s">
        <v>153</v>
      </c>
      <c r="K297" s="9" t="s">
        <v>153</v>
      </c>
      <c r="L297" s="9" t="s">
        <v>341</v>
      </c>
      <c r="M297" s="14">
        <v>2</v>
      </c>
      <c r="N297" s="14">
        <v>26.01</v>
      </c>
      <c r="O297" s="9" t="s">
        <v>632</v>
      </c>
      <c r="P297" s="12" t="s">
        <v>955</v>
      </c>
      <c r="Q297" s="9" t="s">
        <v>923</v>
      </c>
      <c r="R297" s="9" t="s">
        <v>153</v>
      </c>
      <c r="S297" s="14">
        <f t="shared" ref="S297:S310" si="87">LEN(P297)</f>
        <v>152</v>
      </c>
      <c r="T297" s="10">
        <v>105</v>
      </c>
      <c r="U297" s="14">
        <v>0</v>
      </c>
    </row>
    <row r="298" spans="1:21" x14ac:dyDescent="0.2">
      <c r="A298" s="7" t="s">
        <v>956</v>
      </c>
      <c r="B298" s="14">
        <v>2015</v>
      </c>
      <c r="C298" s="9" t="s">
        <v>21</v>
      </c>
      <c r="D298" s="9" t="s">
        <v>4</v>
      </c>
      <c r="E298" s="9" t="s">
        <v>634</v>
      </c>
      <c r="F298" s="14">
        <v>96</v>
      </c>
      <c r="G298" s="9" t="s">
        <v>949</v>
      </c>
      <c r="H298" s="9">
        <f t="shared" ref="H298" si="88">YEAR(G298)</f>
        <v>2024</v>
      </c>
      <c r="I298" s="9">
        <f t="shared" ref="I298" si="89">MONTH(G298)</f>
        <v>7</v>
      </c>
      <c r="J298" s="9" t="s">
        <v>153</v>
      </c>
      <c r="K298" s="9" t="s">
        <v>153</v>
      </c>
      <c r="L298" s="9" t="s">
        <v>952</v>
      </c>
      <c r="M298" s="14">
        <v>3</v>
      </c>
      <c r="N298" s="35">
        <v>0</v>
      </c>
      <c r="O298" s="9" t="s">
        <v>632</v>
      </c>
      <c r="P298" s="22" t="s">
        <v>675</v>
      </c>
      <c r="Q298" s="9" t="s">
        <v>923</v>
      </c>
      <c r="R298" s="9" t="s">
        <v>153</v>
      </c>
      <c r="S298" s="14">
        <f t="shared" si="87"/>
        <v>26</v>
      </c>
      <c r="T298" s="10">
        <v>236</v>
      </c>
      <c r="U298" s="14">
        <v>4</v>
      </c>
    </row>
    <row r="299" spans="1:21" x14ac:dyDescent="0.2">
      <c r="A299" s="7" t="s">
        <v>957</v>
      </c>
      <c r="B299" s="14">
        <v>2022</v>
      </c>
      <c r="C299" s="9" t="s">
        <v>21</v>
      </c>
      <c r="D299" s="9" t="s">
        <v>4</v>
      </c>
      <c r="E299" s="9" t="s">
        <v>634</v>
      </c>
      <c r="F299" s="14">
        <v>194</v>
      </c>
      <c r="G299" s="9" t="s">
        <v>958</v>
      </c>
      <c r="H299" s="9">
        <f t="shared" ref="H299" si="90">YEAR(G299)</f>
        <v>2024</v>
      </c>
      <c r="I299" s="9">
        <f t="shared" ref="I299" si="91">MONTH(G299)</f>
        <v>7</v>
      </c>
      <c r="J299" s="9" t="s">
        <v>153</v>
      </c>
      <c r="K299" s="9" t="s">
        <v>153</v>
      </c>
      <c r="L299" s="9" t="s">
        <v>952</v>
      </c>
      <c r="M299" s="14">
        <v>3</v>
      </c>
      <c r="N299" s="35">
        <v>0</v>
      </c>
      <c r="O299" s="9" t="s">
        <v>632</v>
      </c>
      <c r="P299" s="22" t="s">
        <v>959</v>
      </c>
      <c r="Q299" s="9" t="s">
        <v>923</v>
      </c>
      <c r="R299" s="9" t="s">
        <v>153</v>
      </c>
      <c r="S299" s="14">
        <f t="shared" si="87"/>
        <v>38</v>
      </c>
      <c r="T299" s="10">
        <v>256</v>
      </c>
      <c r="U299" s="14">
        <v>2</v>
      </c>
    </row>
    <row r="300" spans="1:21" x14ac:dyDescent="0.2">
      <c r="A300" s="7" t="s">
        <v>960</v>
      </c>
      <c r="B300" s="14">
        <v>2018</v>
      </c>
      <c r="C300" s="9" t="s">
        <v>21</v>
      </c>
      <c r="D300" s="9" t="s">
        <v>4</v>
      </c>
      <c r="E300" s="9" t="s">
        <v>634</v>
      </c>
      <c r="F300" s="14">
        <v>188</v>
      </c>
      <c r="G300" s="9" t="s">
        <v>961</v>
      </c>
      <c r="H300" s="9">
        <f t="shared" ref="H300:H302" si="92">YEAR(G300)</f>
        <v>2024</v>
      </c>
      <c r="I300" s="9">
        <f t="shared" ref="I300:I302" si="93">MONTH(G300)</f>
        <v>7</v>
      </c>
      <c r="J300" s="9" t="s">
        <v>152</v>
      </c>
      <c r="K300" s="9" t="s">
        <v>153</v>
      </c>
      <c r="L300" s="9" t="s">
        <v>962</v>
      </c>
      <c r="M300" s="14">
        <v>4</v>
      </c>
      <c r="N300" s="35">
        <v>48</v>
      </c>
      <c r="O300" s="9" t="s">
        <v>632</v>
      </c>
      <c r="P300" s="12" t="s">
        <v>963</v>
      </c>
      <c r="Q300" s="9" t="s">
        <v>442</v>
      </c>
      <c r="R300" s="9" t="s">
        <v>153</v>
      </c>
      <c r="S300" s="14">
        <f t="shared" si="87"/>
        <v>268</v>
      </c>
      <c r="T300" s="10">
        <v>576</v>
      </c>
      <c r="U300" s="14">
        <v>15</v>
      </c>
    </row>
    <row r="301" spans="1:21" x14ac:dyDescent="0.2">
      <c r="A301" s="7" t="s">
        <v>964</v>
      </c>
      <c r="B301" s="14">
        <v>2021</v>
      </c>
      <c r="C301" s="9" t="s">
        <v>21</v>
      </c>
      <c r="D301" s="9" t="s">
        <v>4</v>
      </c>
      <c r="E301" s="9" t="s">
        <v>634</v>
      </c>
      <c r="F301" s="14">
        <v>631</v>
      </c>
      <c r="G301" s="9" t="s">
        <v>965</v>
      </c>
      <c r="H301" s="9">
        <f t="shared" si="92"/>
        <v>2024</v>
      </c>
      <c r="I301" s="9">
        <f t="shared" si="93"/>
        <v>7</v>
      </c>
      <c r="J301" s="9" t="s">
        <v>153</v>
      </c>
      <c r="K301" s="9" t="s">
        <v>153</v>
      </c>
      <c r="L301" s="9" t="s">
        <v>341</v>
      </c>
      <c r="M301" s="14">
        <v>3</v>
      </c>
      <c r="N301" s="14">
        <v>49.99</v>
      </c>
      <c r="O301" s="9" t="s">
        <v>632</v>
      </c>
      <c r="P301" s="12" t="s">
        <v>966</v>
      </c>
      <c r="Q301" s="9" t="s">
        <v>538</v>
      </c>
      <c r="R301" s="9" t="s">
        <v>153</v>
      </c>
      <c r="S301" s="14">
        <f t="shared" si="87"/>
        <v>131</v>
      </c>
      <c r="T301" s="10">
        <v>708</v>
      </c>
      <c r="U301" s="14">
        <v>5</v>
      </c>
    </row>
    <row r="302" spans="1:21" x14ac:dyDescent="0.2">
      <c r="A302" s="7" t="s">
        <v>967</v>
      </c>
      <c r="B302" s="14">
        <v>2023</v>
      </c>
      <c r="C302" s="9" t="s">
        <v>21</v>
      </c>
      <c r="D302" s="9" t="s">
        <v>4</v>
      </c>
      <c r="E302" s="9" t="s">
        <v>634</v>
      </c>
      <c r="F302" s="14">
        <v>318</v>
      </c>
      <c r="G302" s="9" t="s">
        <v>968</v>
      </c>
      <c r="H302" s="9">
        <f t="shared" si="92"/>
        <v>2024</v>
      </c>
      <c r="I302" s="9">
        <f t="shared" si="93"/>
        <v>7</v>
      </c>
      <c r="J302" s="9" t="s">
        <v>153</v>
      </c>
      <c r="K302" s="9" t="s">
        <v>153</v>
      </c>
      <c r="L302" s="9" t="s">
        <v>341</v>
      </c>
      <c r="M302" s="14">
        <v>1</v>
      </c>
      <c r="N302" s="14">
        <v>49.99</v>
      </c>
      <c r="O302" s="9" t="s">
        <v>632</v>
      </c>
      <c r="P302" s="12" t="s">
        <v>969</v>
      </c>
      <c r="Q302" s="9" t="s">
        <v>1188</v>
      </c>
      <c r="R302" s="9" t="s">
        <v>153</v>
      </c>
      <c r="S302" s="14">
        <f t="shared" si="87"/>
        <v>77</v>
      </c>
      <c r="T302" s="10">
        <v>143</v>
      </c>
      <c r="U302" s="14">
        <v>0</v>
      </c>
    </row>
    <row r="303" spans="1:21" x14ac:dyDescent="0.2">
      <c r="A303" s="7" t="s">
        <v>970</v>
      </c>
      <c r="B303" s="14">
        <v>2023</v>
      </c>
      <c r="C303" s="9" t="s">
        <v>21</v>
      </c>
      <c r="D303" s="9" t="s">
        <v>4</v>
      </c>
      <c r="E303" s="9" t="s">
        <v>634</v>
      </c>
      <c r="F303" s="14">
        <v>298</v>
      </c>
      <c r="G303" s="9" t="s">
        <v>971</v>
      </c>
      <c r="H303" s="9">
        <f t="shared" ref="H303" si="94">YEAR(G303)</f>
        <v>2024</v>
      </c>
      <c r="I303" s="9">
        <f t="shared" ref="I303" si="95">MONTH(G303)</f>
        <v>7</v>
      </c>
      <c r="J303" s="9" t="s">
        <v>153</v>
      </c>
      <c r="K303" s="9" t="s">
        <v>153</v>
      </c>
      <c r="L303" s="9" t="s">
        <v>343</v>
      </c>
      <c r="M303" s="14">
        <v>1</v>
      </c>
      <c r="N303" s="14">
        <v>65.989999999999995</v>
      </c>
      <c r="O303" s="9" t="s">
        <v>632</v>
      </c>
      <c r="P303" s="12" t="s">
        <v>972</v>
      </c>
      <c r="Q303" s="9" t="s">
        <v>1188</v>
      </c>
      <c r="R303" s="9" t="s">
        <v>153</v>
      </c>
      <c r="S303" s="14">
        <f t="shared" si="87"/>
        <v>55</v>
      </c>
      <c r="T303" s="10">
        <v>105</v>
      </c>
      <c r="U303" s="14">
        <v>0</v>
      </c>
    </row>
    <row r="304" spans="1:21" x14ac:dyDescent="0.2">
      <c r="A304" s="7" t="s">
        <v>973</v>
      </c>
      <c r="B304" s="14">
        <v>2023</v>
      </c>
      <c r="C304" s="9" t="s">
        <v>21</v>
      </c>
      <c r="D304" s="9" t="s">
        <v>4</v>
      </c>
      <c r="E304" s="9" t="s">
        <v>634</v>
      </c>
      <c r="F304" s="14">
        <v>636</v>
      </c>
      <c r="G304" s="9" t="s">
        <v>974</v>
      </c>
      <c r="H304" s="9">
        <f t="shared" ref="H304" si="96">YEAR(G304)</f>
        <v>2024</v>
      </c>
      <c r="I304" s="9">
        <f t="shared" ref="I304" si="97">MONTH(G304)</f>
        <v>7</v>
      </c>
      <c r="J304" s="9" t="s">
        <v>153</v>
      </c>
      <c r="K304" s="9" t="s">
        <v>153</v>
      </c>
      <c r="L304" s="9" t="s">
        <v>346</v>
      </c>
      <c r="M304" s="14">
        <v>1</v>
      </c>
      <c r="N304" s="14">
        <v>39.99</v>
      </c>
      <c r="O304" s="9" t="s">
        <v>632</v>
      </c>
      <c r="P304" s="12" t="s">
        <v>972</v>
      </c>
      <c r="Q304" s="9" t="s">
        <v>538</v>
      </c>
      <c r="R304" s="9" t="s">
        <v>153</v>
      </c>
      <c r="S304" s="14">
        <f t="shared" si="87"/>
        <v>55</v>
      </c>
      <c r="T304" s="10">
        <v>15</v>
      </c>
      <c r="U304" s="14">
        <v>0</v>
      </c>
    </row>
    <row r="305" spans="1:21" x14ac:dyDescent="0.2">
      <c r="A305" s="12" t="s">
        <v>975</v>
      </c>
      <c r="B305" s="14">
        <v>2023</v>
      </c>
      <c r="C305" s="9" t="s">
        <v>21</v>
      </c>
      <c r="D305" s="9" t="s">
        <v>4</v>
      </c>
      <c r="E305" s="9" t="s">
        <v>634</v>
      </c>
      <c r="F305" s="14">
        <v>218</v>
      </c>
      <c r="G305" s="9" t="s">
        <v>974</v>
      </c>
      <c r="H305" s="9">
        <f t="shared" ref="H305" si="98">YEAR(G305)</f>
        <v>2024</v>
      </c>
      <c r="I305" s="9">
        <f t="shared" ref="I305" si="99">MONTH(G305)</f>
        <v>7</v>
      </c>
      <c r="J305" s="9" t="s">
        <v>153</v>
      </c>
      <c r="K305" s="9" t="s">
        <v>153</v>
      </c>
      <c r="L305" s="9" t="s">
        <v>570</v>
      </c>
      <c r="M305" s="14">
        <v>1</v>
      </c>
      <c r="N305" s="14">
        <v>19.989999999999998</v>
      </c>
      <c r="O305" s="9" t="s">
        <v>632</v>
      </c>
      <c r="P305" s="12" t="s">
        <v>976</v>
      </c>
      <c r="Q305" s="9" t="s">
        <v>538</v>
      </c>
      <c r="R305" s="9" t="s">
        <v>153</v>
      </c>
      <c r="S305" s="14">
        <f t="shared" si="87"/>
        <v>247</v>
      </c>
      <c r="T305" s="10">
        <v>50</v>
      </c>
      <c r="U305" s="14">
        <v>0</v>
      </c>
    </row>
    <row r="306" spans="1:21" x14ac:dyDescent="0.2">
      <c r="A306" s="7" t="s">
        <v>977</v>
      </c>
      <c r="B306" s="14">
        <v>2022</v>
      </c>
      <c r="C306" s="9" t="s">
        <v>21</v>
      </c>
      <c r="D306" s="9" t="s">
        <v>4</v>
      </c>
      <c r="E306" s="9" t="s">
        <v>634</v>
      </c>
      <c r="F306" s="14">
        <v>464</v>
      </c>
      <c r="G306" s="9" t="s">
        <v>978</v>
      </c>
      <c r="H306" s="9">
        <f t="shared" ref="H306" si="100">YEAR(G306)</f>
        <v>2024</v>
      </c>
      <c r="I306" s="9">
        <f t="shared" ref="I306" si="101">MONTH(G306)</f>
        <v>7</v>
      </c>
      <c r="J306" s="9" t="s">
        <v>153</v>
      </c>
      <c r="K306" s="9" t="s">
        <v>152</v>
      </c>
      <c r="L306" s="9" t="s">
        <v>842</v>
      </c>
      <c r="M306" s="14">
        <v>3</v>
      </c>
      <c r="N306" s="14">
        <v>24.95</v>
      </c>
      <c r="O306" s="9" t="s">
        <v>632</v>
      </c>
      <c r="P306" s="12" t="s">
        <v>979</v>
      </c>
      <c r="Q306" s="9" t="s">
        <v>538</v>
      </c>
      <c r="R306" s="9" t="s">
        <v>153</v>
      </c>
      <c r="S306" s="14">
        <f t="shared" si="87"/>
        <v>229</v>
      </c>
      <c r="T306" s="10">
        <v>248</v>
      </c>
      <c r="U306" s="14">
        <v>0</v>
      </c>
    </row>
    <row r="307" spans="1:21" x14ac:dyDescent="0.2">
      <c r="A307" s="7" t="s">
        <v>980</v>
      </c>
      <c r="B307" s="14">
        <v>2023</v>
      </c>
      <c r="C307" s="9" t="s">
        <v>21</v>
      </c>
      <c r="D307" s="9" t="s">
        <v>4</v>
      </c>
      <c r="E307" s="9" t="s">
        <v>634</v>
      </c>
      <c r="F307" s="14">
        <v>58</v>
      </c>
      <c r="G307" s="9" t="s">
        <v>978</v>
      </c>
      <c r="H307" s="9">
        <f t="shared" ref="H307" si="102">YEAR(G307)</f>
        <v>2024</v>
      </c>
      <c r="I307" s="9">
        <f t="shared" ref="I307" si="103">MONTH(G307)</f>
        <v>7</v>
      </c>
      <c r="J307" s="9" t="s">
        <v>153</v>
      </c>
      <c r="K307" s="9" t="s">
        <v>153</v>
      </c>
      <c r="L307" s="9" t="s">
        <v>570</v>
      </c>
      <c r="M307" s="14">
        <v>2</v>
      </c>
      <c r="N307" s="14">
        <v>14.95</v>
      </c>
      <c r="O307" s="9" t="s">
        <v>632</v>
      </c>
      <c r="P307" s="22" t="s">
        <v>981</v>
      </c>
      <c r="Q307" s="9" t="s">
        <v>919</v>
      </c>
      <c r="R307" s="9" t="s">
        <v>153</v>
      </c>
      <c r="S307" s="14">
        <f t="shared" si="87"/>
        <v>45</v>
      </c>
      <c r="T307" s="10">
        <v>56</v>
      </c>
      <c r="U307" s="14">
        <v>0</v>
      </c>
    </row>
    <row r="308" spans="1:21" x14ac:dyDescent="0.2">
      <c r="A308" s="7" t="s">
        <v>982</v>
      </c>
      <c r="B308" s="14">
        <v>2023</v>
      </c>
      <c r="C308" s="9" t="s">
        <v>21</v>
      </c>
      <c r="D308" s="9" t="s">
        <v>4</v>
      </c>
      <c r="E308" s="9" t="s">
        <v>634</v>
      </c>
      <c r="F308" s="14">
        <v>161</v>
      </c>
      <c r="G308" s="9" t="s">
        <v>978</v>
      </c>
      <c r="H308" s="9">
        <f t="shared" ref="H308" si="104">YEAR(G308)</f>
        <v>2024</v>
      </c>
      <c r="I308" s="9">
        <f t="shared" ref="I308" si="105">MONTH(G308)</f>
        <v>7</v>
      </c>
      <c r="J308" s="9" t="s">
        <v>153</v>
      </c>
      <c r="K308" s="9" t="s">
        <v>153</v>
      </c>
      <c r="L308" s="9" t="s">
        <v>353</v>
      </c>
      <c r="M308" s="14">
        <v>2</v>
      </c>
      <c r="N308" s="35">
        <v>35</v>
      </c>
      <c r="O308" s="9" t="s">
        <v>632</v>
      </c>
      <c r="P308" s="7" t="s">
        <v>983</v>
      </c>
      <c r="Q308" s="9" t="s">
        <v>1199</v>
      </c>
      <c r="R308" s="9" t="s">
        <v>153</v>
      </c>
      <c r="S308" s="14">
        <f t="shared" si="87"/>
        <v>103</v>
      </c>
      <c r="T308" s="10">
        <v>135</v>
      </c>
      <c r="U308" s="14">
        <v>0</v>
      </c>
    </row>
    <row r="309" spans="1:21" x14ac:dyDescent="0.2">
      <c r="A309" s="7" t="s">
        <v>984</v>
      </c>
      <c r="B309" s="14">
        <v>2023</v>
      </c>
      <c r="C309" s="9" t="s">
        <v>21</v>
      </c>
      <c r="D309" s="9" t="s">
        <v>4</v>
      </c>
      <c r="E309" s="9" t="s">
        <v>634</v>
      </c>
      <c r="F309" s="14">
        <v>331</v>
      </c>
      <c r="G309" s="9" t="s">
        <v>978</v>
      </c>
      <c r="H309" s="9">
        <f t="shared" ref="H309" si="106">YEAR(G309)</f>
        <v>2024</v>
      </c>
      <c r="I309" s="9">
        <f t="shared" ref="I309" si="107">MONTH(G309)</f>
        <v>7</v>
      </c>
      <c r="J309" s="9" t="s">
        <v>153</v>
      </c>
      <c r="K309" s="9" t="s">
        <v>153</v>
      </c>
      <c r="L309" s="9" t="s">
        <v>345</v>
      </c>
      <c r="M309" s="14">
        <v>2</v>
      </c>
      <c r="N309" s="35">
        <v>35.700000000000003</v>
      </c>
      <c r="O309" s="9" t="s">
        <v>632</v>
      </c>
      <c r="P309" s="12" t="s">
        <v>985</v>
      </c>
      <c r="Q309" s="9" t="s">
        <v>442</v>
      </c>
      <c r="R309" s="9" t="s">
        <v>153</v>
      </c>
      <c r="S309" s="14">
        <f t="shared" si="87"/>
        <v>176</v>
      </c>
      <c r="T309" s="10">
        <v>67</v>
      </c>
      <c r="U309" s="14">
        <v>0</v>
      </c>
    </row>
    <row r="310" spans="1:21" x14ac:dyDescent="0.2">
      <c r="A310" s="7" t="s">
        <v>986</v>
      </c>
      <c r="B310" s="14">
        <v>2024</v>
      </c>
      <c r="C310" s="9" t="s">
        <v>21</v>
      </c>
      <c r="D310" s="9" t="s">
        <v>4</v>
      </c>
      <c r="E310" s="9" t="s">
        <v>634</v>
      </c>
      <c r="F310" s="14">
        <v>179</v>
      </c>
      <c r="G310" s="9" t="s">
        <v>989</v>
      </c>
      <c r="H310" s="9">
        <f t="shared" ref="H310" si="108">YEAR(G310)</f>
        <v>2024</v>
      </c>
      <c r="I310" s="9">
        <f t="shared" ref="I310" si="109">MONTH(G310)</f>
        <v>7</v>
      </c>
      <c r="J310" s="9" t="s">
        <v>153</v>
      </c>
      <c r="K310" s="9" t="s">
        <v>153</v>
      </c>
      <c r="L310" s="9" t="s">
        <v>570</v>
      </c>
      <c r="M310" s="14">
        <v>3</v>
      </c>
      <c r="N310" s="35">
        <v>0</v>
      </c>
      <c r="O310" s="9" t="s">
        <v>632</v>
      </c>
      <c r="P310" s="7" t="s">
        <v>987</v>
      </c>
      <c r="Q310" s="9" t="s">
        <v>470</v>
      </c>
      <c r="R310" s="9" t="s">
        <v>153</v>
      </c>
      <c r="S310" s="14">
        <f t="shared" si="87"/>
        <v>218</v>
      </c>
      <c r="T310" s="10">
        <v>496</v>
      </c>
      <c r="U310" s="14">
        <v>0</v>
      </c>
    </row>
    <row r="311" spans="1:21" x14ac:dyDescent="0.2">
      <c r="A311" s="7" t="s">
        <v>988</v>
      </c>
      <c r="B311" s="14">
        <v>2024</v>
      </c>
      <c r="C311" s="9" t="s">
        <v>21</v>
      </c>
      <c r="D311" s="9" t="s">
        <v>4</v>
      </c>
      <c r="E311" s="9" t="s">
        <v>634</v>
      </c>
      <c r="F311" s="14">
        <v>123</v>
      </c>
      <c r="G311" s="9" t="s">
        <v>990</v>
      </c>
      <c r="H311" s="9">
        <f t="shared" ref="H311" si="110">YEAR(G311)</f>
        <v>2024</v>
      </c>
      <c r="I311" s="9">
        <f t="shared" ref="I311" si="111">MONTH(G311)</f>
        <v>8</v>
      </c>
      <c r="J311" s="9" t="s">
        <v>153</v>
      </c>
      <c r="K311" s="9" t="s">
        <v>153</v>
      </c>
      <c r="L311" s="9" t="s">
        <v>570</v>
      </c>
      <c r="M311" s="14">
        <v>1</v>
      </c>
      <c r="N311" s="35">
        <v>40</v>
      </c>
      <c r="O311" s="9" t="s">
        <v>632</v>
      </c>
      <c r="P311" s="7" t="s">
        <v>991</v>
      </c>
      <c r="Q311" s="9" t="s">
        <v>470</v>
      </c>
      <c r="R311" s="9" t="s">
        <v>153</v>
      </c>
      <c r="S311" s="14">
        <f t="shared" ref="S311:S319" si="112">LEN(P311)</f>
        <v>88</v>
      </c>
      <c r="T311" s="10">
        <v>42</v>
      </c>
      <c r="U311" s="14">
        <v>0</v>
      </c>
    </row>
    <row r="312" spans="1:21" x14ac:dyDescent="0.2">
      <c r="A312" s="7" t="s">
        <v>992</v>
      </c>
      <c r="B312" s="14">
        <v>2024</v>
      </c>
      <c r="C312" s="9" t="s">
        <v>21</v>
      </c>
      <c r="D312" s="9" t="s">
        <v>4</v>
      </c>
      <c r="E312" s="9" t="s">
        <v>634</v>
      </c>
      <c r="F312" s="14">
        <v>368</v>
      </c>
      <c r="G312" s="9" t="s">
        <v>993</v>
      </c>
      <c r="H312" s="9">
        <f t="shared" ref="H312" si="113">YEAR(G312)</f>
        <v>2024</v>
      </c>
      <c r="I312" s="9">
        <f t="shared" ref="I312" si="114">MONTH(G312)</f>
        <v>8</v>
      </c>
      <c r="J312" s="9" t="s">
        <v>153</v>
      </c>
      <c r="K312" s="9" t="s">
        <v>152</v>
      </c>
      <c r="L312" s="9" t="s">
        <v>341</v>
      </c>
      <c r="M312" s="14">
        <v>4</v>
      </c>
      <c r="N312" s="14">
        <v>43.13</v>
      </c>
      <c r="O312" s="9" t="s">
        <v>632</v>
      </c>
      <c r="P312" s="7" t="s">
        <v>994</v>
      </c>
      <c r="Q312" s="9" t="s">
        <v>919</v>
      </c>
      <c r="R312" s="9" t="s">
        <v>153</v>
      </c>
      <c r="S312" s="14">
        <f t="shared" si="112"/>
        <v>231</v>
      </c>
      <c r="T312" s="10">
        <v>1374</v>
      </c>
      <c r="U312" s="14">
        <v>0</v>
      </c>
    </row>
    <row r="313" spans="1:21" x14ac:dyDescent="0.2">
      <c r="A313" s="7" t="s">
        <v>997</v>
      </c>
      <c r="B313" s="14">
        <v>2021</v>
      </c>
      <c r="C313" s="9" t="s">
        <v>21</v>
      </c>
      <c r="D313" s="9" t="s">
        <v>4</v>
      </c>
      <c r="E313" s="9" t="s">
        <v>634</v>
      </c>
      <c r="F313" s="14">
        <v>323</v>
      </c>
      <c r="G313" s="9" t="s">
        <v>998</v>
      </c>
      <c r="H313" s="9">
        <f t="shared" ref="H313" si="115">YEAR(G313)</f>
        <v>2024</v>
      </c>
      <c r="I313" s="9">
        <f t="shared" ref="I313" si="116">MONTH(G313)</f>
        <v>11</v>
      </c>
      <c r="J313" s="9" t="s">
        <v>153</v>
      </c>
      <c r="K313" s="9" t="s">
        <v>153</v>
      </c>
      <c r="L313" s="9" t="s">
        <v>341</v>
      </c>
      <c r="M313" s="14">
        <v>3</v>
      </c>
      <c r="N313" s="14">
        <v>48.99</v>
      </c>
      <c r="O313" s="9" t="s">
        <v>632</v>
      </c>
      <c r="P313" s="7" t="s">
        <v>999</v>
      </c>
      <c r="Q313" s="9" t="s">
        <v>538</v>
      </c>
      <c r="R313" s="9" t="s">
        <v>153</v>
      </c>
      <c r="S313" s="14">
        <f t="shared" si="112"/>
        <v>63</v>
      </c>
      <c r="T313" s="10">
        <v>337</v>
      </c>
      <c r="U313" s="14">
        <v>0</v>
      </c>
    </row>
    <row r="314" spans="1:21" x14ac:dyDescent="0.2">
      <c r="A314" s="7" t="s">
        <v>1000</v>
      </c>
      <c r="B314" s="14">
        <v>2022</v>
      </c>
      <c r="C314" s="9" t="s">
        <v>21</v>
      </c>
      <c r="D314" s="9" t="s">
        <v>4</v>
      </c>
      <c r="E314" s="9" t="s">
        <v>634</v>
      </c>
      <c r="F314" s="14">
        <v>426</v>
      </c>
      <c r="G314" s="9" t="s">
        <v>998</v>
      </c>
      <c r="H314" s="9">
        <f t="shared" ref="H314:H315" si="117">YEAR(G314)</f>
        <v>2024</v>
      </c>
      <c r="I314" s="9">
        <f t="shared" ref="I314:I315" si="118">MONTH(G314)</f>
        <v>11</v>
      </c>
      <c r="J314" s="9" t="s">
        <v>153</v>
      </c>
      <c r="K314" s="9" t="s">
        <v>153</v>
      </c>
      <c r="L314" s="9" t="s">
        <v>345</v>
      </c>
      <c r="M314" s="14">
        <v>3</v>
      </c>
      <c r="N314" s="14">
        <v>59.99</v>
      </c>
      <c r="O314" s="9" t="s">
        <v>632</v>
      </c>
      <c r="P314" s="7" t="s">
        <v>1001</v>
      </c>
      <c r="Q314" s="9" t="s">
        <v>442</v>
      </c>
      <c r="R314" s="9" t="s">
        <v>153</v>
      </c>
      <c r="S314" s="14">
        <f t="shared" si="112"/>
        <v>406</v>
      </c>
      <c r="T314" s="10">
        <v>272</v>
      </c>
      <c r="U314" s="14">
        <v>7</v>
      </c>
    </row>
    <row r="315" spans="1:21" x14ac:dyDescent="0.2">
      <c r="A315" s="7" t="s">
        <v>1003</v>
      </c>
      <c r="B315" s="14">
        <v>2024</v>
      </c>
      <c r="C315" s="9" t="s">
        <v>21</v>
      </c>
      <c r="D315" s="9" t="s">
        <v>4</v>
      </c>
      <c r="E315" s="9" t="s">
        <v>634</v>
      </c>
      <c r="F315" s="14">
        <v>296</v>
      </c>
      <c r="G315" s="9" t="s">
        <v>1004</v>
      </c>
      <c r="H315" s="9">
        <f t="shared" si="117"/>
        <v>2024</v>
      </c>
      <c r="I315" s="9">
        <f t="shared" si="118"/>
        <v>11</v>
      </c>
      <c r="J315" s="9" t="s">
        <v>153</v>
      </c>
      <c r="K315" s="9" t="s">
        <v>153</v>
      </c>
      <c r="L315" s="9" t="s">
        <v>341</v>
      </c>
      <c r="M315" s="14">
        <v>2</v>
      </c>
      <c r="N315" s="14">
        <v>39.909999999999997</v>
      </c>
      <c r="O315" s="9" t="s">
        <v>632</v>
      </c>
      <c r="P315" s="12" t="s">
        <v>1005</v>
      </c>
      <c r="Q315" s="9" t="s">
        <v>538</v>
      </c>
      <c r="R315" s="9" t="s">
        <v>153</v>
      </c>
      <c r="S315" s="14">
        <f t="shared" si="112"/>
        <v>260</v>
      </c>
      <c r="T315" s="10">
        <v>336</v>
      </c>
      <c r="U315" s="14">
        <v>0</v>
      </c>
    </row>
    <row r="316" spans="1:21" x14ac:dyDescent="0.2">
      <c r="A316" s="7" t="s">
        <v>1006</v>
      </c>
      <c r="B316" s="14">
        <v>2022</v>
      </c>
      <c r="C316" s="9" t="s">
        <v>21</v>
      </c>
      <c r="D316" s="9" t="s">
        <v>4</v>
      </c>
      <c r="E316" s="9" t="s">
        <v>634</v>
      </c>
      <c r="F316" s="14">
        <v>363</v>
      </c>
      <c r="G316" s="9" t="s">
        <v>1007</v>
      </c>
      <c r="H316" s="9">
        <f t="shared" ref="H316" si="119">YEAR(G316)</f>
        <v>2024</v>
      </c>
      <c r="I316" s="9">
        <f t="shared" ref="I316" si="120">MONTH(G316)</f>
        <v>11</v>
      </c>
      <c r="J316" s="9" t="s">
        <v>153</v>
      </c>
      <c r="K316" s="9" t="s">
        <v>153</v>
      </c>
      <c r="L316" s="9" t="s">
        <v>363</v>
      </c>
      <c r="M316" s="14">
        <v>2</v>
      </c>
      <c r="N316" s="14">
        <v>59.99</v>
      </c>
      <c r="O316" s="9" t="s">
        <v>632</v>
      </c>
      <c r="P316" s="7" t="s">
        <v>1008</v>
      </c>
      <c r="Q316" s="9" t="s">
        <v>1009</v>
      </c>
      <c r="R316" s="9" t="s">
        <v>153</v>
      </c>
      <c r="S316" s="14">
        <f t="shared" si="112"/>
        <v>66</v>
      </c>
      <c r="T316" s="10">
        <v>868</v>
      </c>
      <c r="U316" s="14">
        <v>0</v>
      </c>
    </row>
    <row r="317" spans="1:21" x14ac:dyDescent="0.2">
      <c r="A317" s="7" t="s">
        <v>1010</v>
      </c>
      <c r="B317" s="14">
        <v>2023</v>
      </c>
      <c r="C317" s="9" t="s">
        <v>21</v>
      </c>
      <c r="D317" s="9" t="s">
        <v>4</v>
      </c>
      <c r="E317" s="9" t="s">
        <v>634</v>
      </c>
      <c r="F317" s="14">
        <v>434</v>
      </c>
      <c r="G317" s="9" t="s">
        <v>1007</v>
      </c>
      <c r="H317" s="9">
        <f t="shared" ref="H317" si="121">YEAR(G317)</f>
        <v>2024</v>
      </c>
      <c r="I317" s="9">
        <f t="shared" ref="I317" si="122">MONTH(G317)</f>
        <v>11</v>
      </c>
      <c r="J317" s="9" t="s">
        <v>153</v>
      </c>
      <c r="K317" s="9" t="s">
        <v>153</v>
      </c>
      <c r="L317" s="9" t="s">
        <v>348</v>
      </c>
      <c r="M317" s="14">
        <v>2</v>
      </c>
      <c r="N317" s="14">
        <v>54.99</v>
      </c>
      <c r="O317" s="9" t="s">
        <v>632</v>
      </c>
      <c r="P317" s="12" t="s">
        <v>1011</v>
      </c>
      <c r="Q317" s="9" t="s">
        <v>442</v>
      </c>
      <c r="R317" s="9" t="s">
        <v>153</v>
      </c>
      <c r="S317" s="14">
        <f t="shared" si="112"/>
        <v>243</v>
      </c>
      <c r="T317" s="10">
        <v>366</v>
      </c>
      <c r="U317" s="14">
        <v>0</v>
      </c>
    </row>
    <row r="318" spans="1:21" x14ac:dyDescent="0.2">
      <c r="A318" s="7" t="s">
        <v>1012</v>
      </c>
      <c r="B318" s="14">
        <v>2024</v>
      </c>
      <c r="C318" s="9" t="s">
        <v>21</v>
      </c>
      <c r="D318" s="9" t="s">
        <v>4</v>
      </c>
      <c r="E318" s="9" t="s">
        <v>634</v>
      </c>
      <c r="F318" s="14">
        <v>490</v>
      </c>
      <c r="G318" s="9" t="s">
        <v>1021</v>
      </c>
      <c r="H318" s="9">
        <f t="shared" ref="H318" si="123">YEAR(G318)</f>
        <v>2024</v>
      </c>
      <c r="I318" s="9">
        <f t="shared" ref="I318" si="124">MONTH(G318)</f>
        <v>11</v>
      </c>
      <c r="J318" s="9" t="s">
        <v>152</v>
      </c>
      <c r="K318" s="9" t="s">
        <v>152</v>
      </c>
      <c r="L318" s="9" t="s">
        <v>345</v>
      </c>
      <c r="M318" s="14">
        <v>4</v>
      </c>
      <c r="N318" s="14">
        <v>49.99</v>
      </c>
      <c r="O318" s="9" t="s">
        <v>632</v>
      </c>
      <c r="P318" s="12" t="s">
        <v>1013</v>
      </c>
      <c r="Q318" s="9" t="s">
        <v>442</v>
      </c>
      <c r="R318" s="9" t="s">
        <v>153</v>
      </c>
      <c r="S318" s="14">
        <f t="shared" si="112"/>
        <v>379</v>
      </c>
      <c r="T318" s="10">
        <v>846</v>
      </c>
      <c r="U318" s="14">
        <v>5</v>
      </c>
    </row>
    <row r="319" spans="1:21" x14ac:dyDescent="0.2">
      <c r="A319" s="7" t="s">
        <v>1014</v>
      </c>
      <c r="B319" s="14">
        <v>2023</v>
      </c>
      <c r="C319" s="9" t="s">
        <v>21</v>
      </c>
      <c r="D319" s="9" t="s">
        <v>4</v>
      </c>
      <c r="E319" s="9" t="s">
        <v>634</v>
      </c>
      <c r="F319" s="14">
        <v>195</v>
      </c>
      <c r="G319" s="9" t="s">
        <v>1021</v>
      </c>
      <c r="H319" s="9">
        <f t="shared" ref="H319" si="125">YEAR(G319)</f>
        <v>2024</v>
      </c>
      <c r="I319" s="9">
        <f t="shared" ref="I319" si="126">MONTH(G319)</f>
        <v>11</v>
      </c>
      <c r="J319" s="9" t="s">
        <v>153</v>
      </c>
      <c r="K319" s="9" t="s">
        <v>153</v>
      </c>
      <c r="L319" s="9" t="s">
        <v>1015</v>
      </c>
      <c r="M319" s="14">
        <v>1</v>
      </c>
      <c r="N319" s="14">
        <v>122.67</v>
      </c>
      <c r="O319" s="9" t="s">
        <v>632</v>
      </c>
      <c r="P319" s="7" t="s">
        <v>1016</v>
      </c>
      <c r="Q319" s="9" t="s">
        <v>839</v>
      </c>
      <c r="R319" s="9" t="s">
        <v>153</v>
      </c>
      <c r="S319" s="14">
        <f t="shared" si="112"/>
        <v>31</v>
      </c>
      <c r="T319" s="10">
        <v>78</v>
      </c>
      <c r="U319" s="14">
        <v>0</v>
      </c>
    </row>
    <row r="320" spans="1:21" x14ac:dyDescent="0.2">
      <c r="A320" s="7" t="s">
        <v>1017</v>
      </c>
      <c r="B320" s="14">
        <v>2024</v>
      </c>
      <c r="C320" s="9" t="s">
        <v>21</v>
      </c>
      <c r="D320" s="9" t="s">
        <v>4</v>
      </c>
      <c r="E320" s="9" t="s">
        <v>634</v>
      </c>
      <c r="F320" s="14">
        <v>280</v>
      </c>
      <c r="G320" s="9" t="s">
        <v>1021</v>
      </c>
      <c r="H320" s="9">
        <f t="shared" ref="H320" si="127">YEAR(G320)</f>
        <v>2024</v>
      </c>
      <c r="I320" s="9">
        <f t="shared" ref="I320" si="128">MONTH(G320)</f>
        <v>11</v>
      </c>
      <c r="J320" s="9" t="s">
        <v>153</v>
      </c>
      <c r="K320" s="9" t="s">
        <v>153</v>
      </c>
      <c r="L320" s="9" t="s">
        <v>570</v>
      </c>
      <c r="M320" s="14">
        <v>2</v>
      </c>
      <c r="N320" s="14">
        <v>60.18</v>
      </c>
      <c r="O320" s="9" t="s">
        <v>632</v>
      </c>
      <c r="P320" s="7" t="s">
        <v>1018</v>
      </c>
      <c r="Q320" s="9" t="s">
        <v>839</v>
      </c>
      <c r="R320" s="9" t="s">
        <v>153</v>
      </c>
      <c r="S320" s="14">
        <f t="shared" ref="S320:S387" si="129">LEN(P320)</f>
        <v>35</v>
      </c>
      <c r="T320" s="10">
        <v>139</v>
      </c>
      <c r="U320" s="41">
        <v>0</v>
      </c>
    </row>
    <row r="321" spans="1:21" x14ac:dyDescent="0.2">
      <c r="A321" s="7" t="s">
        <v>1019</v>
      </c>
      <c r="B321" s="14">
        <v>2023</v>
      </c>
      <c r="C321" s="9" t="s">
        <v>21</v>
      </c>
      <c r="D321" s="9" t="s">
        <v>4</v>
      </c>
      <c r="E321" s="9" t="s">
        <v>634</v>
      </c>
      <c r="F321" s="14">
        <v>472</v>
      </c>
      <c r="G321" s="9" t="s">
        <v>1021</v>
      </c>
      <c r="H321" s="9">
        <f t="shared" ref="H321" si="130">YEAR(G321)</f>
        <v>2024</v>
      </c>
      <c r="I321" s="9">
        <f t="shared" ref="I321" si="131">MONTH(G321)</f>
        <v>11</v>
      </c>
      <c r="J321" s="9" t="s">
        <v>153</v>
      </c>
      <c r="K321" s="9" t="s">
        <v>153</v>
      </c>
      <c r="L321" s="9" t="s">
        <v>341</v>
      </c>
      <c r="M321" s="14">
        <v>1</v>
      </c>
      <c r="N321" s="14">
        <v>49.99</v>
      </c>
      <c r="O321" s="9" t="s">
        <v>632</v>
      </c>
      <c r="P321" s="7" t="s">
        <v>1020</v>
      </c>
      <c r="Q321" s="9" t="s">
        <v>839</v>
      </c>
      <c r="R321" s="9" t="s">
        <v>153</v>
      </c>
      <c r="S321" s="14">
        <f t="shared" si="129"/>
        <v>60</v>
      </c>
      <c r="T321" s="10">
        <v>59</v>
      </c>
      <c r="U321" s="41">
        <v>0</v>
      </c>
    </row>
    <row r="322" spans="1:21" x14ac:dyDescent="0.2">
      <c r="A322" s="7" t="s">
        <v>1022</v>
      </c>
      <c r="B322" s="14">
        <v>2016</v>
      </c>
      <c r="C322" s="9" t="s">
        <v>21</v>
      </c>
      <c r="D322" s="9" t="s">
        <v>4</v>
      </c>
      <c r="E322" s="9" t="s">
        <v>634</v>
      </c>
      <c r="F322" s="14">
        <v>68</v>
      </c>
      <c r="G322" s="9" t="s">
        <v>1023</v>
      </c>
      <c r="H322" s="9">
        <f t="shared" ref="H322:H323" si="132">YEAR(G322)</f>
        <v>2024</v>
      </c>
      <c r="I322" s="9">
        <f t="shared" ref="I322:I323" si="133">MONTH(G322)</f>
        <v>11</v>
      </c>
      <c r="J322" s="9" t="s">
        <v>152</v>
      </c>
      <c r="K322" s="9" t="s">
        <v>152</v>
      </c>
      <c r="L322" s="9" t="s">
        <v>570</v>
      </c>
      <c r="M322" s="14">
        <v>5</v>
      </c>
      <c r="N322" s="35">
        <v>0</v>
      </c>
      <c r="O322" s="9" t="s">
        <v>632</v>
      </c>
      <c r="P322" s="12" t="s">
        <v>1024</v>
      </c>
      <c r="Q322" s="9" t="s">
        <v>923</v>
      </c>
      <c r="R322" s="9" t="s">
        <v>153</v>
      </c>
      <c r="S322" s="14">
        <f t="shared" si="129"/>
        <v>155</v>
      </c>
      <c r="T322" s="10">
        <v>524</v>
      </c>
      <c r="U322" s="41">
        <v>1</v>
      </c>
    </row>
    <row r="323" spans="1:21" x14ac:dyDescent="0.2">
      <c r="A323" s="7" t="s">
        <v>1025</v>
      </c>
      <c r="B323" s="14">
        <v>2023</v>
      </c>
      <c r="C323" s="9" t="s">
        <v>21</v>
      </c>
      <c r="D323" s="9" t="s">
        <v>4</v>
      </c>
      <c r="E323" s="9" t="s">
        <v>634</v>
      </c>
      <c r="F323" s="14">
        <v>512</v>
      </c>
      <c r="G323" s="9" t="s">
        <v>1026</v>
      </c>
      <c r="H323" s="9">
        <f t="shared" si="132"/>
        <v>2024</v>
      </c>
      <c r="I323" s="9">
        <f t="shared" si="133"/>
        <v>11</v>
      </c>
      <c r="J323" s="9" t="s">
        <v>152</v>
      </c>
      <c r="K323" s="9" t="s">
        <v>153</v>
      </c>
      <c r="L323" s="9" t="s">
        <v>421</v>
      </c>
      <c r="M323" s="14">
        <v>3</v>
      </c>
      <c r="N323" s="14">
        <v>49.99</v>
      </c>
      <c r="O323" s="9" t="s">
        <v>632</v>
      </c>
      <c r="P323" s="7" t="s">
        <v>1027</v>
      </c>
      <c r="Q323" s="9" t="s">
        <v>538</v>
      </c>
      <c r="R323" s="9" t="s">
        <v>153</v>
      </c>
      <c r="S323" s="14">
        <f t="shared" si="129"/>
        <v>67</v>
      </c>
      <c r="T323" s="10">
        <v>224</v>
      </c>
      <c r="U323" s="41">
        <v>0</v>
      </c>
    </row>
    <row r="324" spans="1:21" x14ac:dyDescent="0.2">
      <c r="A324" s="7" t="s">
        <v>1028</v>
      </c>
      <c r="B324" s="14">
        <v>2024</v>
      </c>
      <c r="C324" s="9" t="s">
        <v>21</v>
      </c>
      <c r="D324" s="9" t="s">
        <v>4</v>
      </c>
      <c r="E324" s="9" t="s">
        <v>634</v>
      </c>
      <c r="F324" s="14">
        <v>442</v>
      </c>
      <c r="G324" s="9" t="s">
        <v>1026</v>
      </c>
      <c r="H324" s="9">
        <f t="shared" ref="H324" si="134">YEAR(G324)</f>
        <v>2024</v>
      </c>
      <c r="I324" s="9">
        <f t="shared" ref="I324" si="135">MONTH(G324)</f>
        <v>11</v>
      </c>
      <c r="J324" s="9" t="s">
        <v>153</v>
      </c>
      <c r="K324" s="9" t="s">
        <v>153</v>
      </c>
      <c r="L324" s="9" t="s">
        <v>345</v>
      </c>
      <c r="M324" s="14">
        <v>1</v>
      </c>
      <c r="N324" s="14">
        <v>49.99</v>
      </c>
      <c r="O324" s="9" t="s">
        <v>632</v>
      </c>
      <c r="P324" s="7" t="s">
        <v>1029</v>
      </c>
      <c r="Q324" s="9" t="s">
        <v>538</v>
      </c>
      <c r="R324" s="9" t="s">
        <v>153</v>
      </c>
      <c r="S324" s="14">
        <f t="shared" si="129"/>
        <v>200</v>
      </c>
      <c r="T324" s="10">
        <v>360</v>
      </c>
      <c r="U324" s="41">
        <v>2</v>
      </c>
    </row>
    <row r="325" spans="1:21" x14ac:dyDescent="0.2">
      <c r="A325" s="7" t="s">
        <v>1030</v>
      </c>
      <c r="B325" s="14">
        <v>2024</v>
      </c>
      <c r="C325" s="9" t="s">
        <v>21</v>
      </c>
      <c r="D325" s="9" t="s">
        <v>4</v>
      </c>
      <c r="E325" s="9" t="s">
        <v>634</v>
      </c>
      <c r="F325" s="14">
        <v>265</v>
      </c>
      <c r="G325" s="9" t="s">
        <v>1026</v>
      </c>
      <c r="H325" s="9">
        <f t="shared" ref="H325" si="136">YEAR(G325)</f>
        <v>2024</v>
      </c>
      <c r="I325" s="9">
        <f t="shared" ref="I325" si="137">MONTH(G325)</f>
        <v>11</v>
      </c>
      <c r="J325" s="9" t="s">
        <v>153</v>
      </c>
      <c r="K325" s="9" t="s">
        <v>153</v>
      </c>
      <c r="L325" s="9" t="s">
        <v>343</v>
      </c>
      <c r="M325" s="14">
        <v>1</v>
      </c>
      <c r="N325" s="14">
        <v>64.989999999999995</v>
      </c>
      <c r="O325" s="9" t="s">
        <v>632</v>
      </c>
      <c r="P325" s="7" t="s">
        <v>1031</v>
      </c>
      <c r="Q325" s="9" t="s">
        <v>538</v>
      </c>
      <c r="R325" s="9" t="s">
        <v>153</v>
      </c>
      <c r="S325" s="14">
        <f t="shared" si="129"/>
        <v>66</v>
      </c>
      <c r="T325" s="10">
        <v>32</v>
      </c>
      <c r="U325" s="41">
        <v>0</v>
      </c>
    </row>
    <row r="326" spans="1:21" x14ac:dyDescent="0.2">
      <c r="A326" s="7" t="s">
        <v>1032</v>
      </c>
      <c r="B326" s="14">
        <v>2024</v>
      </c>
      <c r="C326" s="9" t="s">
        <v>21</v>
      </c>
      <c r="D326" s="9" t="s">
        <v>4</v>
      </c>
      <c r="E326" s="9" t="s">
        <v>634</v>
      </c>
      <c r="F326" s="14">
        <v>333</v>
      </c>
      <c r="G326" s="9" t="s">
        <v>1026</v>
      </c>
      <c r="H326" s="9">
        <f t="shared" ref="H326" si="138">YEAR(G326)</f>
        <v>2024</v>
      </c>
      <c r="I326" s="9">
        <f t="shared" ref="I326" si="139">MONTH(G326)</f>
        <v>11</v>
      </c>
      <c r="J326" s="9" t="s">
        <v>153</v>
      </c>
      <c r="K326" s="9" t="s">
        <v>153</v>
      </c>
      <c r="L326" s="9" t="s">
        <v>1033</v>
      </c>
      <c r="M326" s="14">
        <v>1</v>
      </c>
      <c r="N326" s="14">
        <v>37.99</v>
      </c>
      <c r="O326" s="9" t="s">
        <v>632</v>
      </c>
      <c r="P326" s="7" t="s">
        <v>1034</v>
      </c>
      <c r="Q326" s="9" t="s">
        <v>538</v>
      </c>
      <c r="R326" s="9" t="s">
        <v>153</v>
      </c>
      <c r="S326" s="14">
        <f t="shared" si="129"/>
        <v>57</v>
      </c>
      <c r="T326" s="10">
        <v>0</v>
      </c>
      <c r="U326" s="41">
        <v>0</v>
      </c>
    </row>
    <row r="327" spans="1:21" x14ac:dyDescent="0.2">
      <c r="A327" s="7" t="s">
        <v>1035</v>
      </c>
      <c r="B327" s="14">
        <v>2024</v>
      </c>
      <c r="C327" s="9" t="s">
        <v>21</v>
      </c>
      <c r="D327" s="9" t="s">
        <v>4</v>
      </c>
      <c r="E327" s="9" t="s">
        <v>634</v>
      </c>
      <c r="F327" s="14">
        <v>386</v>
      </c>
      <c r="G327" s="9" t="s">
        <v>1026</v>
      </c>
      <c r="H327" s="9">
        <f t="shared" ref="H327" si="140">YEAR(G327)</f>
        <v>2024</v>
      </c>
      <c r="I327" s="9">
        <f t="shared" ref="I327" si="141">MONTH(G327)</f>
        <v>11</v>
      </c>
      <c r="J327" s="9" t="s">
        <v>153</v>
      </c>
      <c r="K327" s="9" t="s">
        <v>153</v>
      </c>
      <c r="L327" s="9" t="s">
        <v>343</v>
      </c>
      <c r="M327" s="14">
        <v>1</v>
      </c>
      <c r="N327" s="14">
        <v>65.989999999999995</v>
      </c>
      <c r="O327" s="9" t="s">
        <v>632</v>
      </c>
      <c r="P327" s="7" t="s">
        <v>1036</v>
      </c>
      <c r="Q327" s="9" t="s">
        <v>538</v>
      </c>
      <c r="R327" s="9" t="s">
        <v>153</v>
      </c>
      <c r="S327" s="14">
        <f t="shared" si="129"/>
        <v>66</v>
      </c>
      <c r="T327" s="10">
        <v>37</v>
      </c>
      <c r="U327" s="14">
        <v>1</v>
      </c>
    </row>
    <row r="328" spans="1:21" x14ac:dyDescent="0.2">
      <c r="A328" s="7" t="s">
        <v>1037</v>
      </c>
      <c r="B328" s="14">
        <v>2020</v>
      </c>
      <c r="C328" s="9" t="s">
        <v>21</v>
      </c>
      <c r="D328" s="9" t="s">
        <v>4</v>
      </c>
      <c r="E328" s="9" t="s">
        <v>634</v>
      </c>
      <c r="F328" s="14">
        <v>213</v>
      </c>
      <c r="G328" s="9" t="s">
        <v>1026</v>
      </c>
      <c r="H328" s="9">
        <f t="shared" ref="H328" si="142">YEAR(G328)</f>
        <v>2024</v>
      </c>
      <c r="I328" s="9">
        <f t="shared" ref="I328" si="143">MONTH(G328)</f>
        <v>11</v>
      </c>
      <c r="J328" s="9" t="s">
        <v>153</v>
      </c>
      <c r="K328" s="9" t="s">
        <v>153</v>
      </c>
      <c r="L328" s="9" t="s">
        <v>570</v>
      </c>
      <c r="M328" s="14">
        <v>4</v>
      </c>
      <c r="N328" s="14">
        <v>39.99</v>
      </c>
      <c r="O328" s="9" t="s">
        <v>632</v>
      </c>
      <c r="P328" s="12" t="s">
        <v>1038</v>
      </c>
      <c r="Q328" s="9" t="s">
        <v>538</v>
      </c>
      <c r="R328" s="9" t="s">
        <v>153</v>
      </c>
      <c r="S328" s="14">
        <f t="shared" si="129"/>
        <v>144</v>
      </c>
      <c r="T328" s="10">
        <v>162</v>
      </c>
      <c r="U328" s="14">
        <v>5</v>
      </c>
    </row>
    <row r="329" spans="1:21" x14ac:dyDescent="0.2">
      <c r="A329" s="7" t="s">
        <v>1039</v>
      </c>
      <c r="B329" s="14">
        <v>2024</v>
      </c>
      <c r="C329" s="9" t="s">
        <v>21</v>
      </c>
      <c r="D329" s="9" t="s">
        <v>4</v>
      </c>
      <c r="E329" s="9" t="s">
        <v>634</v>
      </c>
      <c r="F329" s="14">
        <v>277</v>
      </c>
      <c r="G329" s="9" t="s">
        <v>1026</v>
      </c>
      <c r="H329" s="9">
        <f t="shared" ref="H329" si="144">YEAR(G329)</f>
        <v>2024</v>
      </c>
      <c r="I329" s="9">
        <f t="shared" ref="I329" si="145">MONTH(G329)</f>
        <v>11</v>
      </c>
      <c r="J329" s="9" t="s">
        <v>153</v>
      </c>
      <c r="K329" s="9" t="s">
        <v>153</v>
      </c>
      <c r="L329" s="9" t="s">
        <v>348</v>
      </c>
      <c r="M329" s="14">
        <v>3</v>
      </c>
      <c r="N329" s="35">
        <v>43.9</v>
      </c>
      <c r="O329" s="9" t="s">
        <v>632</v>
      </c>
      <c r="P329" s="7" t="s">
        <v>1040</v>
      </c>
      <c r="Q329" s="9" t="s">
        <v>442</v>
      </c>
      <c r="R329" s="9" t="s">
        <v>153</v>
      </c>
      <c r="S329" s="14">
        <f t="shared" si="129"/>
        <v>169</v>
      </c>
      <c r="T329" s="10">
        <v>218</v>
      </c>
      <c r="U329" s="14">
        <v>0</v>
      </c>
    </row>
    <row r="330" spans="1:21" x14ac:dyDescent="0.2">
      <c r="A330" s="7" t="s">
        <v>1041</v>
      </c>
      <c r="B330" s="14">
        <v>2024</v>
      </c>
      <c r="C330" s="9" t="s">
        <v>21</v>
      </c>
      <c r="D330" s="9" t="s">
        <v>4</v>
      </c>
      <c r="E330" s="9" t="s">
        <v>634</v>
      </c>
      <c r="F330" s="14">
        <v>132</v>
      </c>
      <c r="G330" s="9" t="s">
        <v>1042</v>
      </c>
      <c r="H330" s="9">
        <f t="shared" ref="H330" si="146">YEAR(G330)</f>
        <v>2024</v>
      </c>
      <c r="I330" s="9">
        <f t="shared" ref="I330" si="147">MONTH(G330)</f>
        <v>12</v>
      </c>
      <c r="J330" s="9" t="s">
        <v>153</v>
      </c>
      <c r="K330" s="9" t="s">
        <v>153</v>
      </c>
      <c r="L330" s="9" t="s">
        <v>570</v>
      </c>
      <c r="M330" s="14">
        <v>2</v>
      </c>
      <c r="N330" s="35">
        <v>10</v>
      </c>
      <c r="O330" s="9" t="s">
        <v>632</v>
      </c>
      <c r="P330" s="12" t="s">
        <v>1043</v>
      </c>
      <c r="Q330" s="9" t="s">
        <v>442</v>
      </c>
      <c r="R330" s="9" t="s">
        <v>153</v>
      </c>
      <c r="S330" s="14">
        <f t="shared" si="129"/>
        <v>136</v>
      </c>
      <c r="T330" s="10">
        <v>160</v>
      </c>
      <c r="U330" s="14">
        <v>2</v>
      </c>
    </row>
    <row r="331" spans="1:21" x14ac:dyDescent="0.2">
      <c r="A331" s="7" t="s">
        <v>1044</v>
      </c>
      <c r="B331" s="14">
        <v>2023</v>
      </c>
      <c r="C331" s="9" t="s">
        <v>21</v>
      </c>
      <c r="D331" s="9" t="s">
        <v>4</v>
      </c>
      <c r="E331" s="9" t="s">
        <v>634</v>
      </c>
      <c r="F331" s="14">
        <v>289</v>
      </c>
      <c r="G331" s="9" t="s">
        <v>1042</v>
      </c>
      <c r="H331" s="9">
        <f t="shared" ref="H331" si="148">YEAR(G331)</f>
        <v>2024</v>
      </c>
      <c r="I331" s="9">
        <f t="shared" ref="I331" si="149">MONTH(G331)</f>
        <v>12</v>
      </c>
      <c r="J331" s="9" t="s">
        <v>153</v>
      </c>
      <c r="K331" s="9" t="s">
        <v>153</v>
      </c>
      <c r="L331" s="9" t="s">
        <v>343</v>
      </c>
      <c r="M331" s="14">
        <v>2</v>
      </c>
      <c r="N331" s="14">
        <v>65.989999999999995</v>
      </c>
      <c r="O331" s="9" t="s">
        <v>632</v>
      </c>
      <c r="P331" s="7" t="s">
        <v>1045</v>
      </c>
      <c r="Q331" s="9" t="s">
        <v>442</v>
      </c>
      <c r="R331" s="9" t="s">
        <v>153</v>
      </c>
      <c r="S331" s="14">
        <f t="shared" si="129"/>
        <v>47</v>
      </c>
      <c r="T331" s="10">
        <v>358</v>
      </c>
      <c r="U331" s="14">
        <v>1</v>
      </c>
    </row>
    <row r="332" spans="1:21" x14ac:dyDescent="0.2">
      <c r="A332" s="7" t="s">
        <v>1046</v>
      </c>
      <c r="B332" s="14">
        <v>2024</v>
      </c>
      <c r="C332" s="9" t="s">
        <v>21</v>
      </c>
      <c r="D332" s="9" t="s">
        <v>4</v>
      </c>
      <c r="E332" s="9" t="s">
        <v>634</v>
      </c>
      <c r="F332" s="14">
        <v>257</v>
      </c>
      <c r="G332" s="9" t="s">
        <v>1042</v>
      </c>
      <c r="H332" s="9">
        <f t="shared" ref="H332" si="150">YEAR(G332)</f>
        <v>2024</v>
      </c>
      <c r="I332" s="9">
        <f t="shared" ref="I332" si="151">MONTH(G332)</f>
        <v>12</v>
      </c>
      <c r="J332" s="9" t="s">
        <v>153</v>
      </c>
      <c r="K332" s="9" t="s">
        <v>153</v>
      </c>
      <c r="L332" s="9" t="s">
        <v>345</v>
      </c>
      <c r="M332" s="14">
        <v>3</v>
      </c>
      <c r="N332" s="14">
        <v>49.99</v>
      </c>
      <c r="O332" s="9" t="s">
        <v>632</v>
      </c>
      <c r="P332" s="7" t="s">
        <v>1047</v>
      </c>
      <c r="Q332" s="9" t="s">
        <v>839</v>
      </c>
      <c r="R332" s="9" t="s">
        <v>153</v>
      </c>
      <c r="S332" s="14">
        <f t="shared" si="129"/>
        <v>36</v>
      </c>
      <c r="T332" s="10">
        <v>355</v>
      </c>
      <c r="U332" s="14">
        <v>0</v>
      </c>
    </row>
    <row r="333" spans="1:21" x14ac:dyDescent="0.2">
      <c r="A333" s="7" t="s">
        <v>1048</v>
      </c>
      <c r="B333" s="14">
        <v>2023</v>
      </c>
      <c r="C333" s="9" t="s">
        <v>21</v>
      </c>
      <c r="D333" s="9" t="s">
        <v>4</v>
      </c>
      <c r="E333" s="9" t="s">
        <v>634</v>
      </c>
      <c r="F333" s="14">
        <v>573</v>
      </c>
      <c r="G333" s="9" t="s">
        <v>1049</v>
      </c>
      <c r="H333" s="9">
        <f t="shared" ref="H333" si="152">YEAR(G333)</f>
        <v>2025</v>
      </c>
      <c r="I333" s="9">
        <f t="shared" ref="I333" si="153">MONTH(G333)</f>
        <v>1</v>
      </c>
      <c r="J333" s="9" t="s">
        <v>153</v>
      </c>
      <c r="K333" s="9" t="s">
        <v>153</v>
      </c>
      <c r="L333" s="9" t="s">
        <v>343</v>
      </c>
      <c r="M333" s="14">
        <v>1</v>
      </c>
      <c r="N333" s="14">
        <v>65.989999999999995</v>
      </c>
      <c r="O333" s="9" t="s">
        <v>632</v>
      </c>
      <c r="P333" s="7" t="s">
        <v>1050</v>
      </c>
      <c r="Q333" s="9" t="s">
        <v>839</v>
      </c>
      <c r="R333" s="9" t="s">
        <v>153</v>
      </c>
      <c r="S333" s="14">
        <f t="shared" si="129"/>
        <v>57</v>
      </c>
      <c r="T333" s="10">
        <v>97</v>
      </c>
      <c r="U333" s="14">
        <v>0</v>
      </c>
    </row>
    <row r="334" spans="1:21" x14ac:dyDescent="0.2">
      <c r="A334" s="7" t="s">
        <v>1051</v>
      </c>
      <c r="B334" s="14">
        <v>2009</v>
      </c>
      <c r="C334" s="9" t="s">
        <v>21</v>
      </c>
      <c r="D334" s="9" t="s">
        <v>4</v>
      </c>
      <c r="E334" s="9" t="s">
        <v>634</v>
      </c>
      <c r="F334" s="14">
        <v>220</v>
      </c>
      <c r="G334" s="9" t="s">
        <v>1049</v>
      </c>
      <c r="H334" s="9">
        <f t="shared" ref="H334:H335" si="154">YEAR(G334)</f>
        <v>2025</v>
      </c>
      <c r="I334" s="9">
        <f t="shared" ref="I334:I335" si="155">MONTH(G334)</f>
        <v>1</v>
      </c>
      <c r="J334" s="9" t="s">
        <v>153</v>
      </c>
      <c r="K334" s="9" t="s">
        <v>152</v>
      </c>
      <c r="L334" s="9" t="s">
        <v>363</v>
      </c>
      <c r="M334" s="14">
        <v>3</v>
      </c>
      <c r="N334" s="14">
        <v>39.950000000000003</v>
      </c>
      <c r="O334" s="9" t="s">
        <v>632</v>
      </c>
      <c r="P334" s="7" t="s">
        <v>642</v>
      </c>
      <c r="Q334" s="9" t="s">
        <v>1009</v>
      </c>
      <c r="R334" s="9" t="s">
        <v>153</v>
      </c>
      <c r="S334" s="14">
        <f t="shared" si="129"/>
        <v>16</v>
      </c>
      <c r="T334" s="10">
        <v>259</v>
      </c>
      <c r="U334" s="14">
        <v>1</v>
      </c>
    </row>
    <row r="335" spans="1:21" x14ac:dyDescent="0.2">
      <c r="A335" s="7" t="s">
        <v>1052</v>
      </c>
      <c r="B335" s="14">
        <v>2024</v>
      </c>
      <c r="C335" s="9" t="s">
        <v>21</v>
      </c>
      <c r="D335" s="9" t="s">
        <v>4</v>
      </c>
      <c r="E335" s="9" t="s">
        <v>634</v>
      </c>
      <c r="F335" s="14">
        <v>314</v>
      </c>
      <c r="G335" s="9" t="s">
        <v>1054</v>
      </c>
      <c r="H335" s="9">
        <f t="shared" si="154"/>
        <v>2025</v>
      </c>
      <c r="I335" s="9">
        <f t="shared" si="155"/>
        <v>1</v>
      </c>
      <c r="J335" s="9" t="s">
        <v>153</v>
      </c>
      <c r="K335" s="9" t="s">
        <v>152</v>
      </c>
      <c r="L335" s="9" t="s">
        <v>345</v>
      </c>
      <c r="M335" s="14">
        <v>4</v>
      </c>
      <c r="N335" s="14">
        <v>47.99</v>
      </c>
      <c r="O335" s="9" t="s">
        <v>632</v>
      </c>
      <c r="P335" s="7" t="s">
        <v>1053</v>
      </c>
      <c r="Q335" s="9" t="s">
        <v>1155</v>
      </c>
      <c r="R335" s="9" t="s">
        <v>153</v>
      </c>
      <c r="S335" s="14">
        <f t="shared" si="129"/>
        <v>40</v>
      </c>
      <c r="T335" s="10">
        <v>630</v>
      </c>
      <c r="U335" s="14">
        <v>2</v>
      </c>
    </row>
    <row r="336" spans="1:21" x14ac:dyDescent="0.2">
      <c r="A336" s="7" t="s">
        <v>1055</v>
      </c>
      <c r="B336" s="14">
        <v>2025</v>
      </c>
      <c r="C336" s="9" t="s">
        <v>21</v>
      </c>
      <c r="D336" s="9" t="s">
        <v>4</v>
      </c>
      <c r="E336" s="9" t="s">
        <v>634</v>
      </c>
      <c r="F336" s="14">
        <v>308</v>
      </c>
      <c r="G336" s="9" t="s">
        <v>1056</v>
      </c>
      <c r="H336" s="9">
        <f t="shared" ref="H336:H337" si="156">YEAR(G336)</f>
        <v>2025</v>
      </c>
      <c r="I336" s="9">
        <f t="shared" ref="I336:I337" si="157">MONTH(G336)</f>
        <v>2</v>
      </c>
      <c r="J336" s="9" t="s">
        <v>153</v>
      </c>
      <c r="K336" s="9" t="s">
        <v>153</v>
      </c>
      <c r="L336" s="9" t="s">
        <v>343</v>
      </c>
      <c r="M336" s="14">
        <v>2</v>
      </c>
      <c r="N336" s="14">
        <v>69.989999999999995</v>
      </c>
      <c r="O336" s="9" t="s">
        <v>632</v>
      </c>
      <c r="P336" s="7" t="s">
        <v>1057</v>
      </c>
      <c r="Q336" s="9" t="s">
        <v>1155</v>
      </c>
      <c r="R336" s="9" t="s">
        <v>153</v>
      </c>
      <c r="S336" s="14">
        <f t="shared" si="129"/>
        <v>38</v>
      </c>
      <c r="T336" s="10">
        <v>80</v>
      </c>
      <c r="U336" s="14">
        <v>0</v>
      </c>
    </row>
    <row r="337" spans="1:21" x14ac:dyDescent="0.2">
      <c r="A337" s="7" t="s">
        <v>1058</v>
      </c>
      <c r="B337" s="14">
        <v>2024</v>
      </c>
      <c r="C337" s="9" t="s">
        <v>21</v>
      </c>
      <c r="D337" s="9" t="s">
        <v>4</v>
      </c>
      <c r="E337" s="9" t="s">
        <v>634</v>
      </c>
      <c r="F337" s="14">
        <v>382</v>
      </c>
      <c r="G337" s="9" t="s">
        <v>1059</v>
      </c>
      <c r="H337" s="9">
        <f t="shared" si="156"/>
        <v>2025</v>
      </c>
      <c r="I337" s="9">
        <f t="shared" si="157"/>
        <v>3</v>
      </c>
      <c r="J337" s="9" t="s">
        <v>153</v>
      </c>
      <c r="K337" s="9" t="s">
        <v>152</v>
      </c>
      <c r="L337" s="9" t="s">
        <v>341</v>
      </c>
      <c r="M337" s="14">
        <v>3</v>
      </c>
      <c r="N337" s="14">
        <v>54.99</v>
      </c>
      <c r="O337" s="9" t="s">
        <v>632</v>
      </c>
      <c r="P337" s="12" t="s">
        <v>1060</v>
      </c>
      <c r="Q337" s="9" t="s">
        <v>1155</v>
      </c>
      <c r="R337" s="9" t="s">
        <v>153</v>
      </c>
      <c r="S337" s="14">
        <f t="shared" si="129"/>
        <v>197</v>
      </c>
      <c r="T337" s="10">
        <v>253</v>
      </c>
      <c r="U337" s="14">
        <v>0</v>
      </c>
    </row>
    <row r="338" spans="1:21" x14ac:dyDescent="0.2">
      <c r="A338" s="7" t="s">
        <v>1061</v>
      </c>
      <c r="B338" s="14">
        <v>2023</v>
      </c>
      <c r="C338" s="9" t="s">
        <v>21</v>
      </c>
      <c r="D338" s="9" t="s">
        <v>4</v>
      </c>
      <c r="E338" s="9" t="s">
        <v>634</v>
      </c>
      <c r="F338" s="14">
        <v>469</v>
      </c>
      <c r="G338" s="9" t="s">
        <v>1059</v>
      </c>
      <c r="H338" s="9">
        <f t="shared" ref="H338" si="158">YEAR(G338)</f>
        <v>2025</v>
      </c>
      <c r="I338" s="9">
        <f t="shared" ref="I338" si="159">MONTH(G338)</f>
        <v>3</v>
      </c>
      <c r="J338" s="9" t="s">
        <v>153</v>
      </c>
      <c r="K338" s="9" t="s">
        <v>153</v>
      </c>
      <c r="L338" s="9" t="s">
        <v>343</v>
      </c>
      <c r="M338" s="14">
        <v>1</v>
      </c>
      <c r="N338" s="14">
        <v>65.989999999999995</v>
      </c>
      <c r="O338" s="9" t="s">
        <v>632</v>
      </c>
      <c r="P338" s="12" t="s">
        <v>1062</v>
      </c>
      <c r="Q338" s="9" t="s">
        <v>442</v>
      </c>
      <c r="R338" s="9" t="s">
        <v>153</v>
      </c>
      <c r="S338" s="14">
        <f t="shared" si="129"/>
        <v>107</v>
      </c>
      <c r="T338" s="10">
        <v>95</v>
      </c>
      <c r="U338" s="14">
        <v>0</v>
      </c>
    </row>
    <row r="339" spans="1:21" x14ac:dyDescent="0.2">
      <c r="A339" s="7" t="s">
        <v>1063</v>
      </c>
      <c r="B339" s="14">
        <v>2012</v>
      </c>
      <c r="C339" s="9" t="s">
        <v>21</v>
      </c>
      <c r="D339" s="9" t="s">
        <v>4</v>
      </c>
      <c r="E339" s="9" t="s">
        <v>634</v>
      </c>
      <c r="F339" s="14">
        <v>135</v>
      </c>
      <c r="G339" s="9" t="s">
        <v>1064</v>
      </c>
      <c r="H339" s="9">
        <f t="shared" ref="H339" si="160">YEAR(G339)</f>
        <v>2025</v>
      </c>
      <c r="I339" s="9">
        <f t="shared" ref="I339" si="161">MONTH(G339)</f>
        <v>3</v>
      </c>
      <c r="J339" s="9" t="s">
        <v>153</v>
      </c>
      <c r="K339" s="9" t="s">
        <v>153</v>
      </c>
      <c r="L339" s="9" t="s">
        <v>570</v>
      </c>
      <c r="M339" s="14">
        <v>4</v>
      </c>
      <c r="N339" s="35">
        <v>0</v>
      </c>
      <c r="O339" s="9" t="s">
        <v>632</v>
      </c>
      <c r="P339" s="7" t="s">
        <v>1065</v>
      </c>
      <c r="Q339" s="9" t="s">
        <v>442</v>
      </c>
      <c r="R339" s="9" t="s">
        <v>153</v>
      </c>
      <c r="S339" s="14">
        <f t="shared" si="129"/>
        <v>61</v>
      </c>
      <c r="T339" s="10">
        <v>369</v>
      </c>
      <c r="U339" s="14">
        <v>8</v>
      </c>
    </row>
    <row r="340" spans="1:21" x14ac:dyDescent="0.2">
      <c r="A340" s="7" t="s">
        <v>1066</v>
      </c>
      <c r="B340" s="14">
        <v>2024</v>
      </c>
      <c r="C340" s="9" t="s">
        <v>21</v>
      </c>
      <c r="D340" s="9" t="s">
        <v>4</v>
      </c>
      <c r="E340" s="9" t="s">
        <v>634</v>
      </c>
      <c r="F340" s="14">
        <v>373</v>
      </c>
      <c r="G340" s="9" t="s">
        <v>1064</v>
      </c>
      <c r="H340" s="9">
        <f t="shared" ref="H340:H341" si="162">YEAR(G340)</f>
        <v>2025</v>
      </c>
      <c r="I340" s="9">
        <f t="shared" ref="I340:I346" si="163">MONTH(G340)</f>
        <v>3</v>
      </c>
      <c r="J340" s="9" t="s">
        <v>153</v>
      </c>
      <c r="K340" s="9" t="s">
        <v>153</v>
      </c>
      <c r="L340" s="9" t="s">
        <v>570</v>
      </c>
      <c r="M340" s="14">
        <v>3</v>
      </c>
      <c r="N340" s="14">
        <v>79</v>
      </c>
      <c r="O340" s="9" t="s">
        <v>632</v>
      </c>
      <c r="P340" s="12" t="s">
        <v>1068</v>
      </c>
      <c r="Q340" s="9" t="s">
        <v>1067</v>
      </c>
      <c r="R340" s="9" t="s">
        <v>153</v>
      </c>
      <c r="S340" s="14">
        <f t="shared" si="129"/>
        <v>174</v>
      </c>
      <c r="T340" s="10">
        <v>509</v>
      </c>
      <c r="U340" s="14">
        <v>1</v>
      </c>
    </row>
    <row r="341" spans="1:21" x14ac:dyDescent="0.2">
      <c r="A341" s="7" t="s">
        <v>1069</v>
      </c>
      <c r="B341" s="14">
        <v>2024</v>
      </c>
      <c r="C341" s="9" t="s">
        <v>21</v>
      </c>
      <c r="D341" s="9" t="s">
        <v>4</v>
      </c>
      <c r="E341" s="9" t="s">
        <v>634</v>
      </c>
      <c r="F341" s="14">
        <v>286</v>
      </c>
      <c r="G341" s="9" t="s">
        <v>1070</v>
      </c>
      <c r="H341" s="9">
        <f t="shared" si="162"/>
        <v>2025</v>
      </c>
      <c r="I341" s="9">
        <f t="shared" si="163"/>
        <v>5</v>
      </c>
      <c r="J341" s="9" t="s">
        <v>153</v>
      </c>
      <c r="K341" s="9" t="s">
        <v>153</v>
      </c>
      <c r="L341" s="9" t="s">
        <v>346</v>
      </c>
      <c r="M341" s="14">
        <v>2</v>
      </c>
      <c r="N341" s="14">
        <v>39.99</v>
      </c>
      <c r="O341" s="9" t="s">
        <v>632</v>
      </c>
      <c r="P341" s="7" t="s">
        <v>1071</v>
      </c>
      <c r="Q341" s="9" t="s">
        <v>442</v>
      </c>
      <c r="R341" s="9" t="s">
        <v>153</v>
      </c>
      <c r="S341" s="14">
        <f t="shared" si="129"/>
        <v>48</v>
      </c>
      <c r="T341" s="14">
        <v>352</v>
      </c>
      <c r="U341" s="14">
        <v>3</v>
      </c>
    </row>
    <row r="342" spans="1:21" x14ac:dyDescent="0.2">
      <c r="A342" s="7" t="s">
        <v>1072</v>
      </c>
      <c r="B342" s="14">
        <v>2024</v>
      </c>
      <c r="C342" s="9" t="s">
        <v>21</v>
      </c>
      <c r="D342" s="9" t="s">
        <v>4</v>
      </c>
      <c r="E342" s="9" t="s">
        <v>634</v>
      </c>
      <c r="F342" s="14">
        <v>418</v>
      </c>
      <c r="G342" s="9" t="s">
        <v>1070</v>
      </c>
      <c r="H342" s="9">
        <f t="shared" ref="H342" si="164">YEAR(G342)</f>
        <v>2025</v>
      </c>
      <c r="I342" s="9">
        <f t="shared" si="163"/>
        <v>5</v>
      </c>
      <c r="J342" s="9" t="s">
        <v>153</v>
      </c>
      <c r="K342" s="9" t="s">
        <v>153</v>
      </c>
      <c r="L342" s="9" t="s">
        <v>1073</v>
      </c>
      <c r="M342" s="14">
        <v>2</v>
      </c>
      <c r="N342" s="14">
        <v>39.950000000000003</v>
      </c>
      <c r="O342" s="9" t="s">
        <v>632</v>
      </c>
      <c r="P342" s="7" t="s">
        <v>1071</v>
      </c>
      <c r="Q342" s="9" t="s">
        <v>442</v>
      </c>
      <c r="R342" s="9" t="s">
        <v>153</v>
      </c>
      <c r="S342" s="14">
        <f t="shared" si="129"/>
        <v>48</v>
      </c>
      <c r="T342" s="14">
        <v>137</v>
      </c>
      <c r="U342" s="14">
        <v>0</v>
      </c>
    </row>
    <row r="343" spans="1:21" x14ac:dyDescent="0.2">
      <c r="A343" s="7" t="s">
        <v>1074</v>
      </c>
      <c r="B343" s="14">
        <v>2024</v>
      </c>
      <c r="C343" s="9" t="s">
        <v>21</v>
      </c>
      <c r="D343" s="9" t="s">
        <v>4</v>
      </c>
      <c r="E343" s="9" t="s">
        <v>634</v>
      </c>
      <c r="F343" s="14">
        <v>611</v>
      </c>
      <c r="G343" s="9" t="s">
        <v>1070</v>
      </c>
      <c r="H343" s="9">
        <f t="shared" ref="H343" si="165">YEAR(G343)</f>
        <v>2025</v>
      </c>
      <c r="I343" s="9">
        <f t="shared" si="163"/>
        <v>5</v>
      </c>
      <c r="J343" s="9" t="s">
        <v>153</v>
      </c>
      <c r="K343" s="9" t="s">
        <v>153</v>
      </c>
      <c r="L343" s="9" t="s">
        <v>842</v>
      </c>
      <c r="M343" s="14">
        <v>2</v>
      </c>
      <c r="N343" s="14">
        <v>37.950000000000003</v>
      </c>
      <c r="O343" s="9" t="s">
        <v>632</v>
      </c>
      <c r="P343" s="7" t="s">
        <v>1075</v>
      </c>
      <c r="Q343" s="9" t="s">
        <v>442</v>
      </c>
      <c r="R343" s="9" t="s">
        <v>153</v>
      </c>
      <c r="S343" s="14">
        <f t="shared" si="129"/>
        <v>67</v>
      </c>
      <c r="T343" s="14">
        <v>205</v>
      </c>
      <c r="U343" s="14">
        <v>5</v>
      </c>
    </row>
    <row r="344" spans="1:21" x14ac:dyDescent="0.2">
      <c r="A344" s="7" t="s">
        <v>1076</v>
      </c>
      <c r="B344" s="14">
        <v>2024</v>
      </c>
      <c r="C344" s="9" t="s">
        <v>21</v>
      </c>
      <c r="D344" s="9" t="s">
        <v>4</v>
      </c>
      <c r="E344" s="9" t="s">
        <v>634</v>
      </c>
      <c r="F344" s="14">
        <v>55</v>
      </c>
      <c r="G344" s="9" t="s">
        <v>1070</v>
      </c>
      <c r="H344" s="9">
        <f t="shared" ref="H344" si="166">YEAR(G344)</f>
        <v>2025</v>
      </c>
      <c r="I344" s="9">
        <f t="shared" si="163"/>
        <v>5</v>
      </c>
      <c r="J344" s="9" t="s">
        <v>153</v>
      </c>
      <c r="K344" s="9" t="s">
        <v>153</v>
      </c>
      <c r="L344" s="9" t="s">
        <v>570</v>
      </c>
      <c r="M344" s="14">
        <v>2</v>
      </c>
      <c r="N344" s="35">
        <v>0</v>
      </c>
      <c r="O344" s="9" t="s">
        <v>632</v>
      </c>
      <c r="P344" s="7" t="s">
        <v>1077</v>
      </c>
      <c r="Q344" s="9" t="s">
        <v>923</v>
      </c>
      <c r="R344" s="9" t="s">
        <v>153</v>
      </c>
      <c r="S344" s="14">
        <f t="shared" si="129"/>
        <v>43</v>
      </c>
      <c r="T344" s="14">
        <v>59</v>
      </c>
      <c r="U344" s="14">
        <v>0</v>
      </c>
    </row>
    <row r="345" spans="1:21" x14ac:dyDescent="0.2">
      <c r="A345" s="7" t="s">
        <v>1078</v>
      </c>
      <c r="B345" s="14">
        <v>2020</v>
      </c>
      <c r="C345" s="9" t="s">
        <v>21</v>
      </c>
      <c r="D345" s="9" t="s">
        <v>4</v>
      </c>
      <c r="E345" s="9" t="s">
        <v>634</v>
      </c>
      <c r="F345" s="14">
        <v>602</v>
      </c>
      <c r="G345" s="9" t="s">
        <v>1079</v>
      </c>
      <c r="H345" s="9">
        <f t="shared" ref="H345" si="167">YEAR(G345)</f>
        <v>2025</v>
      </c>
      <c r="I345" s="9">
        <f t="shared" si="163"/>
        <v>5</v>
      </c>
      <c r="J345" s="9" t="s">
        <v>153</v>
      </c>
      <c r="K345" s="9" t="s">
        <v>153</v>
      </c>
      <c r="L345" s="9" t="s">
        <v>343</v>
      </c>
      <c r="M345" s="14">
        <v>1</v>
      </c>
      <c r="N345" s="14">
        <v>65.989999999999995</v>
      </c>
      <c r="O345" s="9" t="s">
        <v>632</v>
      </c>
      <c r="P345" s="7" t="s">
        <v>1080</v>
      </c>
      <c r="Q345" s="9" t="s">
        <v>442</v>
      </c>
      <c r="R345" s="9" t="s">
        <v>153</v>
      </c>
      <c r="S345" s="14">
        <f t="shared" si="129"/>
        <v>133</v>
      </c>
      <c r="T345" s="14">
        <v>177</v>
      </c>
      <c r="U345" s="14">
        <v>1</v>
      </c>
    </row>
    <row r="346" spans="1:21" x14ac:dyDescent="0.2">
      <c r="A346" s="7" t="s">
        <v>1081</v>
      </c>
      <c r="B346" s="14">
        <v>2009</v>
      </c>
      <c r="C346" s="9" t="s">
        <v>21</v>
      </c>
      <c r="D346" s="9" t="s">
        <v>4</v>
      </c>
      <c r="E346" s="9" t="s">
        <v>634</v>
      </c>
      <c r="F346" s="14">
        <v>388</v>
      </c>
      <c r="G346" s="9" t="s">
        <v>1079</v>
      </c>
      <c r="H346" s="9">
        <f t="shared" ref="H346" si="168">YEAR(G346)</f>
        <v>2025</v>
      </c>
      <c r="I346" s="9">
        <f t="shared" si="163"/>
        <v>5</v>
      </c>
      <c r="J346" s="9" t="s">
        <v>153</v>
      </c>
      <c r="K346" s="9" t="s">
        <v>153</v>
      </c>
      <c r="L346" s="9" t="s">
        <v>354</v>
      </c>
      <c r="M346" s="14">
        <v>1</v>
      </c>
      <c r="N346" s="14">
        <v>69.95</v>
      </c>
      <c r="O346" s="9" t="s">
        <v>632</v>
      </c>
      <c r="P346" s="7" t="s">
        <v>1082</v>
      </c>
      <c r="Q346" s="9" t="s">
        <v>442</v>
      </c>
      <c r="R346" s="9" t="s">
        <v>153</v>
      </c>
      <c r="S346" s="14">
        <f t="shared" si="129"/>
        <v>133</v>
      </c>
      <c r="T346" s="14">
        <v>96</v>
      </c>
      <c r="U346" s="14">
        <v>0</v>
      </c>
    </row>
    <row r="347" spans="1:21" x14ac:dyDescent="0.2">
      <c r="A347" s="7" t="s">
        <v>1083</v>
      </c>
      <c r="B347" s="14">
        <v>2023</v>
      </c>
      <c r="C347" s="9" t="s">
        <v>21</v>
      </c>
      <c r="D347" s="9" t="s">
        <v>4</v>
      </c>
      <c r="E347" s="9" t="s">
        <v>634</v>
      </c>
      <c r="F347" s="14">
        <v>63</v>
      </c>
      <c r="G347" s="9" t="s">
        <v>1084</v>
      </c>
      <c r="H347" s="9">
        <f t="shared" ref="H347" si="169">YEAR(G347)</f>
        <v>2025</v>
      </c>
      <c r="I347" s="9">
        <f t="shared" ref="I347" si="170">MONTH(G347)</f>
        <v>5</v>
      </c>
      <c r="J347" s="9" t="s">
        <v>153</v>
      </c>
      <c r="K347" s="9" t="s">
        <v>153</v>
      </c>
      <c r="L347" s="9" t="s">
        <v>570</v>
      </c>
      <c r="M347" s="14">
        <v>1</v>
      </c>
      <c r="N347" s="35">
        <v>0</v>
      </c>
      <c r="O347" s="9" t="s">
        <v>632</v>
      </c>
      <c r="P347" s="7" t="s">
        <v>1085</v>
      </c>
      <c r="Q347" s="9" t="s">
        <v>1187</v>
      </c>
      <c r="R347" s="9" t="s">
        <v>153</v>
      </c>
      <c r="S347" s="14">
        <f t="shared" si="129"/>
        <v>194</v>
      </c>
      <c r="T347" s="14">
        <v>87</v>
      </c>
      <c r="U347" s="14">
        <v>1</v>
      </c>
    </row>
    <row r="348" spans="1:21" x14ac:dyDescent="0.2">
      <c r="A348" s="7" t="s">
        <v>1086</v>
      </c>
      <c r="B348" s="14">
        <v>2024</v>
      </c>
      <c r="C348" s="9" t="s">
        <v>21</v>
      </c>
      <c r="D348" s="9" t="s">
        <v>4</v>
      </c>
      <c r="E348" s="9" t="s">
        <v>634</v>
      </c>
      <c r="F348" s="14">
        <v>350</v>
      </c>
      <c r="G348" s="9" t="s">
        <v>1087</v>
      </c>
      <c r="H348" s="9">
        <f t="shared" ref="H348" si="171">YEAR(G348)</f>
        <v>2025</v>
      </c>
      <c r="I348" s="9">
        <f t="shared" ref="I348" si="172">MONTH(G348)</f>
        <v>5</v>
      </c>
      <c r="J348" s="9" t="s">
        <v>153</v>
      </c>
      <c r="K348" s="9" t="s">
        <v>153</v>
      </c>
      <c r="L348" s="9" t="s">
        <v>341</v>
      </c>
      <c r="M348" s="14">
        <v>1</v>
      </c>
      <c r="N348" s="35">
        <v>39.99</v>
      </c>
      <c r="O348" s="9" t="s">
        <v>632</v>
      </c>
      <c r="P348" s="12" t="s">
        <v>1088</v>
      </c>
      <c r="Q348" s="9" t="s">
        <v>538</v>
      </c>
      <c r="R348" s="9" t="s">
        <v>153</v>
      </c>
      <c r="S348" s="14">
        <f t="shared" si="129"/>
        <v>293</v>
      </c>
      <c r="T348" s="14">
        <v>72</v>
      </c>
      <c r="U348" s="14">
        <v>0</v>
      </c>
    </row>
    <row r="349" spans="1:21" x14ac:dyDescent="0.2">
      <c r="A349" s="7" t="s">
        <v>1089</v>
      </c>
      <c r="B349" s="14">
        <v>2018</v>
      </c>
      <c r="C349" s="9" t="s">
        <v>21</v>
      </c>
      <c r="D349" s="9" t="s">
        <v>4</v>
      </c>
      <c r="E349" s="9" t="s">
        <v>634</v>
      </c>
      <c r="F349" s="14">
        <v>331</v>
      </c>
      <c r="G349" s="9" t="s">
        <v>1090</v>
      </c>
      <c r="H349" s="9">
        <f t="shared" ref="H349" si="173">YEAR(G349)</f>
        <v>2025</v>
      </c>
      <c r="I349" s="9">
        <f t="shared" ref="I349" si="174">MONTH(G349)</f>
        <v>5</v>
      </c>
      <c r="J349" s="9" t="s">
        <v>153</v>
      </c>
      <c r="K349" s="9" t="s">
        <v>153</v>
      </c>
      <c r="L349" s="9" t="s">
        <v>348</v>
      </c>
      <c r="M349" s="14">
        <v>2</v>
      </c>
      <c r="N349" s="14">
        <v>64.989999999999995</v>
      </c>
      <c r="O349" s="9" t="s">
        <v>632</v>
      </c>
      <c r="P349" s="12" t="s">
        <v>1091</v>
      </c>
      <c r="Q349" s="9" t="s">
        <v>1067</v>
      </c>
      <c r="R349" s="9" t="s">
        <v>153</v>
      </c>
      <c r="S349" s="14">
        <f t="shared" si="129"/>
        <v>117</v>
      </c>
      <c r="T349" s="14">
        <v>460</v>
      </c>
      <c r="U349" s="14">
        <v>8</v>
      </c>
    </row>
    <row r="350" spans="1:21" x14ac:dyDescent="0.2">
      <c r="A350" s="7" t="s">
        <v>1092</v>
      </c>
      <c r="B350" s="14">
        <v>2025</v>
      </c>
      <c r="C350" s="9" t="s">
        <v>21</v>
      </c>
      <c r="D350" s="9" t="s">
        <v>4</v>
      </c>
      <c r="E350" s="9" t="s">
        <v>634</v>
      </c>
      <c r="F350" s="14">
        <v>433</v>
      </c>
      <c r="G350" s="9" t="s">
        <v>1093</v>
      </c>
      <c r="H350" s="9">
        <f t="shared" ref="H350" si="175">YEAR(G350)</f>
        <v>2025</v>
      </c>
      <c r="I350" s="9">
        <f t="shared" ref="I350" si="176">MONTH(G350)</f>
        <v>5</v>
      </c>
      <c r="J350" s="9" t="s">
        <v>153</v>
      </c>
      <c r="K350" s="9" t="s">
        <v>153</v>
      </c>
      <c r="L350" s="9" t="s">
        <v>842</v>
      </c>
      <c r="M350" s="14">
        <v>2</v>
      </c>
      <c r="N350" s="14">
        <v>39.950000000000003</v>
      </c>
      <c r="O350" s="9" t="s">
        <v>632</v>
      </c>
      <c r="P350" s="12" t="s">
        <v>1094</v>
      </c>
      <c r="Q350" s="9" t="s">
        <v>442</v>
      </c>
      <c r="R350" s="9" t="s">
        <v>153</v>
      </c>
      <c r="S350" s="14">
        <f t="shared" si="129"/>
        <v>165</v>
      </c>
      <c r="T350" s="14">
        <v>234</v>
      </c>
      <c r="U350" s="14">
        <v>0</v>
      </c>
    </row>
    <row r="351" spans="1:21" x14ac:dyDescent="0.2">
      <c r="A351" s="7" t="s">
        <v>1095</v>
      </c>
      <c r="B351" s="14">
        <v>2023</v>
      </c>
      <c r="C351" s="9" t="s">
        <v>21</v>
      </c>
      <c r="D351" s="9" t="s">
        <v>4</v>
      </c>
      <c r="E351" s="9" t="s">
        <v>634</v>
      </c>
      <c r="F351" s="14">
        <v>168</v>
      </c>
      <c r="G351" s="9" t="s">
        <v>1093</v>
      </c>
      <c r="H351" s="9">
        <f t="shared" ref="H351" si="177">YEAR(G351)</f>
        <v>2025</v>
      </c>
      <c r="I351" s="9">
        <f t="shared" ref="I351" si="178">MONTH(G351)</f>
        <v>5</v>
      </c>
      <c r="J351" s="9" t="s">
        <v>153</v>
      </c>
      <c r="K351" s="9" t="s">
        <v>153</v>
      </c>
      <c r="L351" s="9" t="s">
        <v>343</v>
      </c>
      <c r="M351" s="14">
        <v>2</v>
      </c>
      <c r="N351" s="14">
        <v>35.99</v>
      </c>
      <c r="O351" s="9" t="s">
        <v>632</v>
      </c>
      <c r="P351" s="7" t="s">
        <v>1096</v>
      </c>
      <c r="Q351" s="9" t="s">
        <v>1067</v>
      </c>
      <c r="R351" s="9" t="s">
        <v>153</v>
      </c>
      <c r="S351" s="14">
        <f t="shared" si="129"/>
        <v>83</v>
      </c>
      <c r="T351" s="14">
        <v>197</v>
      </c>
      <c r="U351" s="14">
        <v>2</v>
      </c>
    </row>
    <row r="352" spans="1:21" x14ac:dyDescent="0.2">
      <c r="A352" s="7" t="s">
        <v>1097</v>
      </c>
      <c r="B352" s="14">
        <v>2025</v>
      </c>
      <c r="C352" s="9" t="s">
        <v>21</v>
      </c>
      <c r="D352" s="9" t="s">
        <v>4</v>
      </c>
      <c r="E352" s="9" t="s">
        <v>634</v>
      </c>
      <c r="F352" s="14">
        <v>345</v>
      </c>
      <c r="G352" s="9" t="s">
        <v>1098</v>
      </c>
      <c r="H352" s="9">
        <f t="shared" ref="H352" si="179">YEAR(G352)</f>
        <v>2025</v>
      </c>
      <c r="I352" s="9">
        <f t="shared" ref="I352" si="180">MONTH(G352)</f>
        <v>6</v>
      </c>
      <c r="J352" s="9" t="s">
        <v>153</v>
      </c>
      <c r="K352" s="9" t="s">
        <v>153</v>
      </c>
      <c r="L352" s="9" t="s">
        <v>1073</v>
      </c>
      <c r="M352" s="14">
        <v>2</v>
      </c>
      <c r="N352" s="14">
        <v>37.950000000000003</v>
      </c>
      <c r="O352" s="9" t="s">
        <v>632</v>
      </c>
      <c r="P352" s="7" t="s">
        <v>1099</v>
      </c>
      <c r="Q352" s="9" t="s">
        <v>1067</v>
      </c>
      <c r="R352" s="9" t="s">
        <v>153</v>
      </c>
      <c r="S352" s="14">
        <f t="shared" si="129"/>
        <v>85</v>
      </c>
      <c r="T352" s="14">
        <v>430</v>
      </c>
      <c r="U352" s="14">
        <v>2</v>
      </c>
    </row>
    <row r="353" spans="1:21" x14ac:dyDescent="0.2">
      <c r="A353" s="7" t="s">
        <v>1100</v>
      </c>
      <c r="B353" s="14">
        <v>2024</v>
      </c>
      <c r="C353" s="9" t="s">
        <v>21</v>
      </c>
      <c r="D353" s="9" t="s">
        <v>4</v>
      </c>
      <c r="E353" s="9" t="s">
        <v>634</v>
      </c>
      <c r="F353" s="14">
        <v>59</v>
      </c>
      <c r="G353" s="9" t="s">
        <v>1101</v>
      </c>
      <c r="H353" s="9">
        <f t="shared" ref="H353" si="181">YEAR(G353)</f>
        <v>2025</v>
      </c>
      <c r="I353" s="9">
        <f t="shared" ref="I353" si="182">MONTH(G353)</f>
        <v>6</v>
      </c>
      <c r="J353" s="9" t="s">
        <v>153</v>
      </c>
      <c r="K353" s="9" t="s">
        <v>153</v>
      </c>
      <c r="L353" s="9" t="s">
        <v>570</v>
      </c>
      <c r="M353" s="14">
        <v>3</v>
      </c>
      <c r="N353" s="14">
        <v>49.99</v>
      </c>
      <c r="O353" s="9" t="s">
        <v>632</v>
      </c>
      <c r="P353" s="7" t="s">
        <v>1102</v>
      </c>
      <c r="Q353" s="9" t="s">
        <v>1187</v>
      </c>
      <c r="R353" s="9" t="s">
        <v>153</v>
      </c>
      <c r="S353" s="14">
        <f t="shared" si="129"/>
        <v>99</v>
      </c>
      <c r="T353" s="14">
        <v>216</v>
      </c>
      <c r="U353" s="14">
        <v>0</v>
      </c>
    </row>
    <row r="354" spans="1:21" x14ac:dyDescent="0.2">
      <c r="A354" s="7" t="s">
        <v>1103</v>
      </c>
      <c r="B354" s="14">
        <v>2025</v>
      </c>
      <c r="C354" s="9" t="s">
        <v>21</v>
      </c>
      <c r="D354" s="9" t="s">
        <v>4</v>
      </c>
      <c r="E354" s="9" t="s">
        <v>634</v>
      </c>
      <c r="F354" s="14">
        <v>160</v>
      </c>
      <c r="G354" s="9" t="s">
        <v>1101</v>
      </c>
      <c r="H354" s="9">
        <f t="shared" ref="H354" si="183">YEAR(G354)</f>
        <v>2025</v>
      </c>
      <c r="I354" s="9">
        <f t="shared" ref="I354" si="184">MONTH(G354)</f>
        <v>6</v>
      </c>
      <c r="J354" s="9" t="s">
        <v>153</v>
      </c>
      <c r="K354" s="9" t="s">
        <v>153</v>
      </c>
      <c r="L354" s="9" t="s">
        <v>1104</v>
      </c>
      <c r="M354" s="14">
        <v>3</v>
      </c>
      <c r="N354" s="14">
        <v>42.99</v>
      </c>
      <c r="O354" s="9" t="s">
        <v>632</v>
      </c>
      <c r="P354" s="7" t="s">
        <v>1105</v>
      </c>
      <c r="Q354" s="9" t="s">
        <v>923</v>
      </c>
      <c r="R354" s="9" t="s">
        <v>153</v>
      </c>
      <c r="S354" s="14">
        <f t="shared" si="129"/>
        <v>51</v>
      </c>
      <c r="T354" s="14">
        <v>217</v>
      </c>
      <c r="U354" s="14">
        <v>1</v>
      </c>
    </row>
    <row r="355" spans="1:21" x14ac:dyDescent="0.2">
      <c r="A355" s="7" t="s">
        <v>1202</v>
      </c>
      <c r="B355" s="14">
        <v>2020</v>
      </c>
      <c r="C355" s="9" t="s">
        <v>21</v>
      </c>
      <c r="D355" s="9" t="s">
        <v>4</v>
      </c>
      <c r="E355" s="9" t="s">
        <v>634</v>
      </c>
      <c r="F355" s="14">
        <v>321</v>
      </c>
      <c r="G355" s="9" t="s">
        <v>1106</v>
      </c>
      <c r="H355" s="9">
        <f t="shared" ref="H355" si="185">YEAR(G355)</f>
        <v>2025</v>
      </c>
      <c r="I355" s="9">
        <f t="shared" ref="I355" si="186">MONTH(G355)</f>
        <v>6</v>
      </c>
      <c r="J355" s="9" t="s">
        <v>153</v>
      </c>
      <c r="K355" s="9" t="s">
        <v>153</v>
      </c>
      <c r="L355" s="9" t="s">
        <v>346</v>
      </c>
      <c r="M355" s="14">
        <v>3</v>
      </c>
      <c r="N355" s="14">
        <v>38.58</v>
      </c>
      <c r="O355" s="9" t="s">
        <v>632</v>
      </c>
      <c r="P355" s="7" t="s">
        <v>1107</v>
      </c>
      <c r="Q355" s="9" t="s">
        <v>923</v>
      </c>
      <c r="R355" s="9" t="s">
        <v>153</v>
      </c>
      <c r="S355" s="14">
        <f t="shared" si="129"/>
        <v>53</v>
      </c>
      <c r="T355" s="14">
        <v>518</v>
      </c>
      <c r="U355" s="14">
        <v>3</v>
      </c>
    </row>
    <row r="356" spans="1:21" x14ac:dyDescent="0.2">
      <c r="A356" s="7" t="s">
        <v>1108</v>
      </c>
      <c r="B356" s="14">
        <v>2025</v>
      </c>
      <c r="C356" s="9" t="s">
        <v>21</v>
      </c>
      <c r="D356" s="9" t="s">
        <v>4</v>
      </c>
      <c r="E356" s="9" t="s">
        <v>634</v>
      </c>
      <c r="F356" s="14">
        <v>123</v>
      </c>
      <c r="G356" s="9" t="s">
        <v>1109</v>
      </c>
      <c r="H356" s="9">
        <f t="shared" ref="H356" si="187">YEAR(G356)</f>
        <v>2025</v>
      </c>
      <c r="I356" s="9">
        <f t="shared" ref="I356" si="188">MONTH(G356)</f>
        <v>6</v>
      </c>
      <c r="J356" s="9" t="s">
        <v>153</v>
      </c>
      <c r="K356" s="9" t="s">
        <v>153</v>
      </c>
      <c r="L356" s="9" t="s">
        <v>570</v>
      </c>
      <c r="M356" s="14">
        <v>2</v>
      </c>
      <c r="N356" s="35">
        <v>0</v>
      </c>
      <c r="O356" s="9" t="s">
        <v>632</v>
      </c>
      <c r="P356" s="7" t="s">
        <v>1111</v>
      </c>
      <c r="Q356" s="9" t="s">
        <v>470</v>
      </c>
      <c r="R356" s="9" t="s">
        <v>153</v>
      </c>
      <c r="S356" s="14">
        <f t="shared" si="129"/>
        <v>50</v>
      </c>
      <c r="T356" s="14">
        <v>124</v>
      </c>
      <c r="U356" s="14">
        <v>0</v>
      </c>
    </row>
    <row r="357" spans="1:21" x14ac:dyDescent="0.2">
      <c r="A357" s="7" t="s">
        <v>1110</v>
      </c>
      <c r="B357" s="14">
        <v>2020</v>
      </c>
      <c r="C357" s="9" t="s">
        <v>21</v>
      </c>
      <c r="D357" s="9" t="s">
        <v>4</v>
      </c>
      <c r="E357" s="9" t="s">
        <v>634</v>
      </c>
      <c r="F357" s="14">
        <v>131</v>
      </c>
      <c r="G357" s="9" t="s">
        <v>1112</v>
      </c>
      <c r="H357" s="9">
        <f t="shared" ref="H357" si="189">YEAR(G357)</f>
        <v>2025</v>
      </c>
      <c r="I357" s="9">
        <f t="shared" ref="I357" si="190">MONTH(G357)</f>
        <v>7</v>
      </c>
      <c r="J357" s="9" t="s">
        <v>153</v>
      </c>
      <c r="K357" s="9" t="s">
        <v>153</v>
      </c>
      <c r="L357" s="9" t="s">
        <v>362</v>
      </c>
      <c r="M357" s="14">
        <v>3</v>
      </c>
      <c r="N357" s="14">
        <v>26.95</v>
      </c>
      <c r="O357" s="9" t="s">
        <v>632</v>
      </c>
      <c r="P357" s="7" t="s">
        <v>642</v>
      </c>
      <c r="Q357" s="9" t="s">
        <v>923</v>
      </c>
      <c r="R357" s="9" t="s">
        <v>153</v>
      </c>
      <c r="S357" s="14">
        <f t="shared" si="129"/>
        <v>16</v>
      </c>
      <c r="T357" s="14">
        <v>338</v>
      </c>
      <c r="U357" s="14">
        <v>2</v>
      </c>
    </row>
    <row r="358" spans="1:21" x14ac:dyDescent="0.2">
      <c r="A358" s="7" t="s">
        <v>1113</v>
      </c>
      <c r="B358" s="14">
        <v>2025</v>
      </c>
      <c r="C358" s="9" t="s">
        <v>21</v>
      </c>
      <c r="D358" s="9" t="s">
        <v>4</v>
      </c>
      <c r="E358" s="9" t="s">
        <v>634</v>
      </c>
      <c r="F358" s="14">
        <v>485</v>
      </c>
      <c r="G358" s="9" t="s">
        <v>1112</v>
      </c>
      <c r="H358" s="9">
        <f t="shared" ref="H358" si="191">YEAR(G358)</f>
        <v>2025</v>
      </c>
      <c r="I358" s="9">
        <f t="shared" ref="I358" si="192">MONTH(G358)</f>
        <v>7</v>
      </c>
      <c r="J358" s="9" t="s">
        <v>153</v>
      </c>
      <c r="K358" s="9" t="s">
        <v>153</v>
      </c>
      <c r="L358" s="9" t="s">
        <v>348</v>
      </c>
      <c r="M358" s="14">
        <v>2</v>
      </c>
      <c r="N358" s="14">
        <v>38.89</v>
      </c>
      <c r="O358" s="9" t="s">
        <v>632</v>
      </c>
      <c r="P358" s="7" t="s">
        <v>1116</v>
      </c>
      <c r="Q358" s="9" t="s">
        <v>923</v>
      </c>
      <c r="R358" s="9" t="s">
        <v>153</v>
      </c>
      <c r="S358" s="14">
        <f t="shared" si="129"/>
        <v>131</v>
      </c>
      <c r="T358" s="14">
        <v>135</v>
      </c>
      <c r="U358" s="14">
        <v>1</v>
      </c>
    </row>
    <row r="359" spans="1:21" x14ac:dyDescent="0.2">
      <c r="A359" s="7" t="s">
        <v>1114</v>
      </c>
      <c r="B359" s="14">
        <v>2024</v>
      </c>
      <c r="C359" s="9" t="s">
        <v>21</v>
      </c>
      <c r="D359" s="9" t="s">
        <v>4</v>
      </c>
      <c r="E359" s="9" t="s">
        <v>634</v>
      </c>
      <c r="F359" s="14">
        <v>569</v>
      </c>
      <c r="G359" s="9" t="s">
        <v>1115</v>
      </c>
      <c r="H359" s="9">
        <f t="shared" ref="H359" si="193">YEAR(G359)</f>
        <v>2025</v>
      </c>
      <c r="I359" s="9">
        <f t="shared" ref="I359" si="194">MONTH(G359)</f>
        <v>7</v>
      </c>
      <c r="J359" s="9" t="s">
        <v>153</v>
      </c>
      <c r="K359" s="9" t="s">
        <v>153</v>
      </c>
      <c r="L359" s="9" t="s">
        <v>570</v>
      </c>
      <c r="M359" s="14">
        <v>2</v>
      </c>
      <c r="N359" s="14">
        <v>58.99</v>
      </c>
      <c r="O359" s="9" t="s">
        <v>632</v>
      </c>
      <c r="P359" s="7" t="s">
        <v>1117</v>
      </c>
      <c r="Q359" s="9" t="s">
        <v>919</v>
      </c>
      <c r="R359" s="9" t="s">
        <v>153</v>
      </c>
      <c r="S359" s="14">
        <f t="shared" si="129"/>
        <v>89</v>
      </c>
      <c r="T359" s="14">
        <v>376</v>
      </c>
      <c r="U359" s="14">
        <v>2</v>
      </c>
    </row>
    <row r="360" spans="1:21" x14ac:dyDescent="0.2">
      <c r="A360" s="7" t="s">
        <v>1118</v>
      </c>
      <c r="B360" s="14">
        <v>2024</v>
      </c>
      <c r="C360" s="9" t="s">
        <v>21</v>
      </c>
      <c r="D360" s="9" t="s">
        <v>4</v>
      </c>
      <c r="E360" s="9" t="s">
        <v>634</v>
      </c>
      <c r="F360" s="14">
        <v>236</v>
      </c>
      <c r="G360" s="9" t="s">
        <v>1119</v>
      </c>
      <c r="H360" s="9">
        <f t="shared" ref="H360" si="195">YEAR(G360)</f>
        <v>2025</v>
      </c>
      <c r="I360" s="9">
        <f t="shared" ref="I360" si="196">MONTH(G360)</f>
        <v>7</v>
      </c>
      <c r="J360" s="9" t="s">
        <v>153</v>
      </c>
      <c r="K360" s="9" t="s">
        <v>153</v>
      </c>
      <c r="L360" s="9" t="s">
        <v>570</v>
      </c>
      <c r="M360" s="14">
        <v>1</v>
      </c>
      <c r="N360" s="14">
        <v>129</v>
      </c>
      <c r="O360" s="9" t="s">
        <v>632</v>
      </c>
      <c r="P360" s="12" t="s">
        <v>1120</v>
      </c>
      <c r="Q360" s="9" t="s">
        <v>1155</v>
      </c>
      <c r="R360" s="9" t="s">
        <v>153</v>
      </c>
      <c r="S360" s="14">
        <f t="shared" si="129"/>
        <v>206</v>
      </c>
      <c r="T360" s="14">
        <v>278</v>
      </c>
      <c r="U360" s="14">
        <v>2</v>
      </c>
    </row>
    <row r="361" spans="1:21" x14ac:dyDescent="0.2">
      <c r="A361" s="7" t="s">
        <v>1121</v>
      </c>
      <c r="B361" s="14">
        <v>2024</v>
      </c>
      <c r="C361" s="9" t="s">
        <v>21</v>
      </c>
      <c r="D361" s="9" t="s">
        <v>4</v>
      </c>
      <c r="E361" s="9" t="s">
        <v>634</v>
      </c>
      <c r="F361" s="14">
        <v>265</v>
      </c>
      <c r="G361" s="9" t="s">
        <v>1122</v>
      </c>
      <c r="H361" s="9">
        <f t="shared" ref="H361:H362" si="197">YEAR(G361)</f>
        <v>2025</v>
      </c>
      <c r="I361" s="9">
        <f t="shared" ref="I361:I362" si="198">MONTH(G361)</f>
        <v>7</v>
      </c>
      <c r="J361" s="9" t="s">
        <v>153</v>
      </c>
      <c r="K361" s="9" t="s">
        <v>153</v>
      </c>
      <c r="L361" s="9" t="s">
        <v>570</v>
      </c>
      <c r="M361" s="14">
        <v>5</v>
      </c>
      <c r="N361" s="35">
        <v>0</v>
      </c>
      <c r="O361" s="9" t="s">
        <v>632</v>
      </c>
      <c r="P361" s="12" t="s">
        <v>1123</v>
      </c>
      <c r="Q361" s="9" t="s">
        <v>1199</v>
      </c>
      <c r="R361" s="9" t="s">
        <v>153</v>
      </c>
      <c r="S361" s="14">
        <f t="shared" si="129"/>
        <v>158</v>
      </c>
      <c r="T361" s="14">
        <v>290</v>
      </c>
      <c r="U361" s="14">
        <v>0</v>
      </c>
    </row>
    <row r="362" spans="1:21" x14ac:dyDescent="0.2">
      <c r="A362" s="7" t="s">
        <v>1124</v>
      </c>
      <c r="B362" s="14">
        <v>2025</v>
      </c>
      <c r="C362" s="9" t="s">
        <v>21</v>
      </c>
      <c r="D362" s="9" t="s">
        <v>4</v>
      </c>
      <c r="E362" s="9" t="s">
        <v>634</v>
      </c>
      <c r="F362" s="14">
        <v>362</v>
      </c>
      <c r="G362" s="9" t="s">
        <v>1125</v>
      </c>
      <c r="H362" s="9">
        <f t="shared" si="197"/>
        <v>2025</v>
      </c>
      <c r="I362" s="9">
        <f t="shared" si="198"/>
        <v>8</v>
      </c>
      <c r="J362" s="9" t="s">
        <v>153</v>
      </c>
      <c r="K362" s="9" t="s">
        <v>153</v>
      </c>
      <c r="L362" s="9" t="s">
        <v>341</v>
      </c>
      <c r="M362" s="14">
        <v>3</v>
      </c>
      <c r="N362" s="14">
        <v>44.99</v>
      </c>
      <c r="O362" s="9" t="s">
        <v>632</v>
      </c>
      <c r="P362" s="7" t="s">
        <v>1126</v>
      </c>
      <c r="Q362" s="9" t="s">
        <v>538</v>
      </c>
      <c r="R362" s="9" t="s">
        <v>153</v>
      </c>
      <c r="S362" s="14">
        <f t="shared" si="129"/>
        <v>65</v>
      </c>
      <c r="T362" s="14">
        <v>362</v>
      </c>
      <c r="U362" s="14">
        <v>2</v>
      </c>
    </row>
    <row r="363" spans="1:21" x14ac:dyDescent="0.2">
      <c r="A363" s="7" t="s">
        <v>1161</v>
      </c>
      <c r="B363" s="14">
        <v>2013</v>
      </c>
      <c r="C363" s="9" t="s">
        <v>21</v>
      </c>
      <c r="D363" s="9" t="s">
        <v>4</v>
      </c>
      <c r="E363" s="9" t="s">
        <v>634</v>
      </c>
      <c r="F363" s="14">
        <v>135</v>
      </c>
      <c r="G363" s="9" t="s">
        <v>1162</v>
      </c>
      <c r="H363" s="9">
        <f t="shared" ref="H363" si="199">YEAR(G363)</f>
        <v>2025</v>
      </c>
      <c r="I363" s="9">
        <f t="shared" ref="I363" si="200">MONTH(G363)</f>
        <v>8</v>
      </c>
      <c r="J363" s="9" t="s">
        <v>153</v>
      </c>
      <c r="K363" s="9" t="s">
        <v>153</v>
      </c>
      <c r="L363" s="9" t="s">
        <v>350</v>
      </c>
      <c r="M363" s="14">
        <v>4</v>
      </c>
      <c r="N363" s="35">
        <v>0</v>
      </c>
      <c r="O363" s="9" t="s">
        <v>632</v>
      </c>
      <c r="P363" s="7" t="s">
        <v>1163</v>
      </c>
      <c r="Q363" s="9" t="s">
        <v>1155</v>
      </c>
      <c r="R363" s="9" t="s">
        <v>153</v>
      </c>
      <c r="S363" s="14">
        <f t="shared" si="129"/>
        <v>47</v>
      </c>
      <c r="T363" s="14">
        <v>218</v>
      </c>
      <c r="U363" s="14">
        <v>0</v>
      </c>
    </row>
    <row r="364" spans="1:21" x14ac:dyDescent="0.2">
      <c r="A364" s="7" t="s">
        <v>1164</v>
      </c>
      <c r="B364" s="14">
        <v>2015</v>
      </c>
      <c r="C364" s="9" t="s">
        <v>21</v>
      </c>
      <c r="D364" s="9" t="s">
        <v>4</v>
      </c>
      <c r="E364" s="9" t="s">
        <v>634</v>
      </c>
      <c r="F364" s="14">
        <v>464</v>
      </c>
      <c r="G364" s="9" t="s">
        <v>1165</v>
      </c>
      <c r="H364" s="9">
        <f t="shared" ref="H364" si="201">YEAR(G364)</f>
        <v>2025</v>
      </c>
      <c r="I364" s="9">
        <f t="shared" ref="I364" si="202">MONTH(G364)</f>
        <v>8</v>
      </c>
      <c r="J364" s="9" t="s">
        <v>153</v>
      </c>
      <c r="K364" s="9" t="s">
        <v>153</v>
      </c>
      <c r="L364" s="9" t="s">
        <v>341</v>
      </c>
      <c r="M364" s="14">
        <v>3</v>
      </c>
      <c r="N364" s="14">
        <v>60.99</v>
      </c>
      <c r="O364" s="9" t="s">
        <v>632</v>
      </c>
      <c r="P364" s="7" t="s">
        <v>1166</v>
      </c>
      <c r="Q364" s="9" t="s">
        <v>1155</v>
      </c>
      <c r="R364" s="9" t="s">
        <v>153</v>
      </c>
      <c r="S364" s="14">
        <f t="shared" si="129"/>
        <v>46</v>
      </c>
      <c r="T364" s="14">
        <v>299</v>
      </c>
      <c r="U364" s="14">
        <v>0</v>
      </c>
    </row>
    <row r="365" spans="1:21" x14ac:dyDescent="0.2">
      <c r="A365" s="7" t="s">
        <v>1167</v>
      </c>
      <c r="B365" s="14">
        <v>2013</v>
      </c>
      <c r="C365" s="9" t="s">
        <v>21</v>
      </c>
      <c r="D365" s="9" t="s">
        <v>4</v>
      </c>
      <c r="E365" s="9" t="s">
        <v>634</v>
      </c>
      <c r="F365" s="14">
        <v>369</v>
      </c>
      <c r="G365" s="9" t="s">
        <v>1169</v>
      </c>
      <c r="H365" s="9">
        <f t="shared" ref="H365" si="203">YEAR(G365)</f>
        <v>2025</v>
      </c>
      <c r="I365" s="9">
        <f t="shared" ref="I365:I366" si="204">MONTH(G365)</f>
        <v>11</v>
      </c>
      <c r="J365" s="9" t="s">
        <v>153</v>
      </c>
      <c r="K365" s="9" t="s">
        <v>153</v>
      </c>
      <c r="L365" s="9" t="s">
        <v>1168</v>
      </c>
      <c r="M365" s="14">
        <v>2</v>
      </c>
      <c r="N365" s="14">
        <v>19.989999999999998</v>
      </c>
      <c r="O365" s="9" t="s">
        <v>632</v>
      </c>
      <c r="P365" s="7" t="s">
        <v>1170</v>
      </c>
      <c r="Q365" s="9" t="s">
        <v>1067</v>
      </c>
      <c r="R365" s="9" t="s">
        <v>153</v>
      </c>
      <c r="S365" s="14">
        <f t="shared" si="129"/>
        <v>155</v>
      </c>
      <c r="T365" s="14">
        <v>284</v>
      </c>
      <c r="U365" s="14">
        <v>1</v>
      </c>
    </row>
    <row r="366" spans="1:21" x14ac:dyDescent="0.2">
      <c r="A366" s="7" t="s">
        <v>1171</v>
      </c>
      <c r="B366" s="14">
        <v>2025</v>
      </c>
      <c r="C366" s="9" t="s">
        <v>21</v>
      </c>
      <c r="D366" s="9" t="s">
        <v>4</v>
      </c>
      <c r="E366" s="9" t="s">
        <v>634</v>
      </c>
      <c r="F366" s="14">
        <v>78</v>
      </c>
      <c r="G366" s="9" t="s">
        <v>1169</v>
      </c>
      <c r="H366" s="9">
        <f t="shared" ref="H366" si="205">YEAR(G366)</f>
        <v>2025</v>
      </c>
      <c r="I366" s="9">
        <f t="shared" si="204"/>
        <v>11</v>
      </c>
      <c r="J366" s="9" t="s">
        <v>152</v>
      </c>
      <c r="K366" s="9" t="s">
        <v>153</v>
      </c>
      <c r="L366" s="9" t="s">
        <v>570</v>
      </c>
      <c r="M366" s="14">
        <v>5</v>
      </c>
      <c r="N366" s="35">
        <v>0</v>
      </c>
      <c r="O366" s="9" t="s">
        <v>632</v>
      </c>
      <c r="P366" s="38" t="s">
        <v>1172</v>
      </c>
      <c r="Q366" s="9" t="s">
        <v>1067</v>
      </c>
      <c r="R366" s="9" t="s">
        <v>153</v>
      </c>
      <c r="S366" s="14">
        <f t="shared" si="129"/>
        <v>72</v>
      </c>
      <c r="T366" s="14">
        <v>501</v>
      </c>
      <c r="U366" s="14">
        <v>4</v>
      </c>
    </row>
    <row r="367" spans="1:21" x14ac:dyDescent="0.2">
      <c r="A367" s="7" t="s">
        <v>1173</v>
      </c>
      <c r="B367" s="14">
        <v>2025</v>
      </c>
      <c r="C367" s="9" t="s">
        <v>21</v>
      </c>
      <c r="D367" s="9" t="s">
        <v>4</v>
      </c>
      <c r="E367" s="9" t="s">
        <v>634</v>
      </c>
      <c r="F367" s="14">
        <v>43</v>
      </c>
      <c r="G367" s="9" t="s">
        <v>1174</v>
      </c>
      <c r="H367" s="9">
        <f t="shared" ref="H367" si="206">YEAR(G367)</f>
        <v>2025</v>
      </c>
      <c r="I367" s="9">
        <f t="shared" ref="I367" si="207">MONTH(G367)</f>
        <v>11</v>
      </c>
      <c r="J367" s="9" t="s">
        <v>153</v>
      </c>
      <c r="K367" s="9" t="s">
        <v>153</v>
      </c>
      <c r="L367" s="9" t="s">
        <v>570</v>
      </c>
      <c r="M367" s="14">
        <v>1</v>
      </c>
      <c r="N367" s="35">
        <v>0</v>
      </c>
      <c r="O367" s="9" t="s">
        <v>632</v>
      </c>
      <c r="P367" s="7" t="s">
        <v>1175</v>
      </c>
      <c r="Q367" s="9" t="s">
        <v>919</v>
      </c>
      <c r="R367" s="9" t="s">
        <v>153</v>
      </c>
      <c r="S367" s="14">
        <f t="shared" si="129"/>
        <v>94</v>
      </c>
      <c r="T367" s="14">
        <v>128</v>
      </c>
      <c r="U367" s="14">
        <v>1</v>
      </c>
    </row>
    <row r="368" spans="1:21" x14ac:dyDescent="0.2">
      <c r="A368" s="7" t="s">
        <v>1176</v>
      </c>
      <c r="B368" s="14">
        <v>2022</v>
      </c>
      <c r="C368" s="9" t="s">
        <v>21</v>
      </c>
      <c r="D368" s="9" t="s">
        <v>4</v>
      </c>
      <c r="E368" s="9" t="s">
        <v>634</v>
      </c>
      <c r="F368" s="14">
        <v>236</v>
      </c>
      <c r="G368" s="9" t="s">
        <v>1174</v>
      </c>
      <c r="H368" s="9">
        <f t="shared" ref="H368" si="208">YEAR(G368)</f>
        <v>2025</v>
      </c>
      <c r="I368" s="9">
        <f t="shared" ref="I368" si="209">MONTH(G368)</f>
        <v>11</v>
      </c>
      <c r="J368" s="9" t="s">
        <v>153</v>
      </c>
      <c r="K368" s="9" t="s">
        <v>153</v>
      </c>
      <c r="L368" s="9" t="s">
        <v>341</v>
      </c>
      <c r="M368" s="14">
        <v>3</v>
      </c>
      <c r="N368" s="14">
        <v>31.99</v>
      </c>
      <c r="O368" s="9" t="s">
        <v>632</v>
      </c>
      <c r="P368" s="7" t="s">
        <v>1177</v>
      </c>
      <c r="Q368" s="9" t="s">
        <v>839</v>
      </c>
      <c r="R368" s="9" t="s">
        <v>153</v>
      </c>
      <c r="S368" s="14">
        <f t="shared" si="129"/>
        <v>37</v>
      </c>
      <c r="T368" s="14">
        <v>132</v>
      </c>
      <c r="U368" s="14">
        <v>0</v>
      </c>
    </row>
    <row r="369" spans="1:21" x14ac:dyDescent="0.2">
      <c r="A369" s="7" t="s">
        <v>1178</v>
      </c>
      <c r="B369" s="14">
        <v>2024</v>
      </c>
      <c r="C369" s="9" t="s">
        <v>21</v>
      </c>
      <c r="D369" s="9" t="s">
        <v>4</v>
      </c>
      <c r="E369" s="9" t="s">
        <v>634</v>
      </c>
      <c r="F369" s="14">
        <v>445</v>
      </c>
      <c r="G369" s="9" t="s">
        <v>1174</v>
      </c>
      <c r="H369" s="9">
        <f t="shared" ref="H369" si="210">YEAR(G369)</f>
        <v>2025</v>
      </c>
      <c r="I369" s="9">
        <f t="shared" ref="I369" si="211">MONTH(G369)</f>
        <v>11</v>
      </c>
      <c r="J369" s="9" t="s">
        <v>153</v>
      </c>
      <c r="K369" s="9" t="s">
        <v>153</v>
      </c>
      <c r="L369" s="9" t="s">
        <v>341</v>
      </c>
      <c r="M369" s="14">
        <v>1</v>
      </c>
      <c r="N369" s="14">
        <v>43.99</v>
      </c>
      <c r="O369" s="9" t="s">
        <v>632</v>
      </c>
      <c r="P369" s="7" t="s">
        <v>1179</v>
      </c>
      <c r="Q369" s="9" t="s">
        <v>919</v>
      </c>
      <c r="R369" s="9" t="s">
        <v>153</v>
      </c>
      <c r="S369" s="14">
        <f t="shared" si="129"/>
        <v>148</v>
      </c>
      <c r="T369" s="14">
        <v>532</v>
      </c>
      <c r="U369" s="14">
        <v>0</v>
      </c>
    </row>
    <row r="370" spans="1:21" x14ac:dyDescent="0.2">
      <c r="A370" s="7" t="s">
        <v>1180</v>
      </c>
      <c r="B370" s="14">
        <v>2025</v>
      </c>
      <c r="C370" s="9" t="s">
        <v>21</v>
      </c>
      <c r="D370" s="9" t="s">
        <v>4</v>
      </c>
      <c r="E370" s="9" t="s">
        <v>634</v>
      </c>
      <c r="F370" s="14">
        <v>82</v>
      </c>
      <c r="G370" s="9" t="s">
        <v>1181</v>
      </c>
      <c r="H370" s="9">
        <f t="shared" ref="H370" si="212">YEAR(G370)</f>
        <v>2025</v>
      </c>
      <c r="I370" s="9">
        <f t="shared" ref="I370" si="213">MONTH(G370)</f>
        <v>11</v>
      </c>
      <c r="J370" s="9" t="s">
        <v>153</v>
      </c>
      <c r="K370" s="9" t="s">
        <v>152</v>
      </c>
      <c r="L370" s="9" t="s">
        <v>343</v>
      </c>
      <c r="M370" s="14">
        <v>4</v>
      </c>
      <c r="N370" s="14">
        <v>79.989999999999995</v>
      </c>
      <c r="O370" s="9" t="s">
        <v>632</v>
      </c>
      <c r="P370" s="7" t="s">
        <v>1182</v>
      </c>
      <c r="Q370" s="9" t="s">
        <v>919</v>
      </c>
      <c r="R370" s="9" t="s">
        <v>153</v>
      </c>
      <c r="S370" s="14">
        <f t="shared" si="129"/>
        <v>45</v>
      </c>
      <c r="T370" s="14">
        <v>334</v>
      </c>
      <c r="U370" s="14">
        <v>0</v>
      </c>
    </row>
    <row r="371" spans="1:21" x14ac:dyDescent="0.2">
      <c r="A371" s="7" t="s">
        <v>1183</v>
      </c>
      <c r="B371" s="14">
        <v>2025</v>
      </c>
      <c r="C371" s="9" t="s">
        <v>21</v>
      </c>
      <c r="D371" s="9" t="s">
        <v>4</v>
      </c>
      <c r="E371" s="9" t="s">
        <v>634</v>
      </c>
      <c r="F371" s="14">
        <v>368</v>
      </c>
      <c r="G371" s="9" t="s">
        <v>1184</v>
      </c>
      <c r="H371" s="9">
        <f t="shared" ref="H371:H381" si="214">YEAR(G371)</f>
        <v>2025</v>
      </c>
      <c r="I371" s="9">
        <f t="shared" ref="I371:I381" si="215">MONTH(G371)</f>
        <v>11</v>
      </c>
      <c r="J371" s="9" t="s">
        <v>153</v>
      </c>
      <c r="K371" s="9" t="s">
        <v>153</v>
      </c>
      <c r="L371" s="9" t="s">
        <v>345</v>
      </c>
      <c r="M371" s="14">
        <v>3</v>
      </c>
      <c r="N371" s="14">
        <v>49.99</v>
      </c>
      <c r="O371" s="9" t="s">
        <v>632</v>
      </c>
      <c r="P371" s="7" t="s">
        <v>1185</v>
      </c>
      <c r="Q371" s="9" t="s">
        <v>919</v>
      </c>
      <c r="R371" s="9" t="s">
        <v>153</v>
      </c>
      <c r="S371" s="14">
        <f t="shared" si="129"/>
        <v>100</v>
      </c>
      <c r="T371" s="14">
        <v>531</v>
      </c>
      <c r="U371" s="14">
        <v>0</v>
      </c>
    </row>
    <row r="372" spans="1:21" x14ac:dyDescent="0.2">
      <c r="A372" s="7" t="s">
        <v>1204</v>
      </c>
      <c r="B372" s="14">
        <v>2025</v>
      </c>
      <c r="C372" s="9" t="s">
        <v>21</v>
      </c>
      <c r="D372" s="9" t="s">
        <v>4</v>
      </c>
      <c r="E372" s="9" t="s">
        <v>634</v>
      </c>
      <c r="F372" s="14">
        <v>297</v>
      </c>
      <c r="G372" s="9" t="s">
        <v>1205</v>
      </c>
      <c r="H372" s="9">
        <f t="shared" si="214"/>
        <v>2026</v>
      </c>
      <c r="I372" s="9">
        <f t="shared" si="215"/>
        <v>5</v>
      </c>
      <c r="J372" s="9" t="s">
        <v>153</v>
      </c>
      <c r="K372" s="9" t="s">
        <v>153</v>
      </c>
      <c r="L372" s="9" t="s">
        <v>343</v>
      </c>
      <c r="M372" s="14">
        <v>3</v>
      </c>
      <c r="N372" s="14">
        <v>79.989999999999995</v>
      </c>
      <c r="O372" s="9" t="s">
        <v>632</v>
      </c>
      <c r="P372" s="7" t="s">
        <v>1206</v>
      </c>
      <c r="Q372" s="9" t="s">
        <v>919</v>
      </c>
      <c r="R372" s="9" t="s">
        <v>153</v>
      </c>
      <c r="S372" s="14">
        <f t="shared" si="129"/>
        <v>170</v>
      </c>
      <c r="T372" s="14">
        <v>0</v>
      </c>
      <c r="U372" s="14">
        <v>0</v>
      </c>
    </row>
    <row r="373" spans="1:21" x14ac:dyDescent="0.2">
      <c r="A373" s="7" t="s">
        <v>1207</v>
      </c>
      <c r="B373" s="14">
        <v>2025</v>
      </c>
      <c r="C373" s="9" t="s">
        <v>21</v>
      </c>
      <c r="D373" s="9" t="s">
        <v>4</v>
      </c>
      <c r="E373" s="9" t="s">
        <v>634</v>
      </c>
      <c r="F373" s="14">
        <v>306</v>
      </c>
      <c r="G373" s="9" t="s">
        <v>1205</v>
      </c>
      <c r="H373" s="9">
        <f t="shared" si="214"/>
        <v>2026</v>
      </c>
      <c r="I373" s="9">
        <f t="shared" si="215"/>
        <v>5</v>
      </c>
      <c r="J373" s="9" t="s">
        <v>153</v>
      </c>
      <c r="K373" s="9" t="s">
        <v>153</v>
      </c>
      <c r="L373" s="9" t="s">
        <v>345</v>
      </c>
      <c r="M373" s="14">
        <v>1</v>
      </c>
      <c r="N373" s="14">
        <v>59.99</v>
      </c>
      <c r="O373" s="9" t="s">
        <v>632</v>
      </c>
      <c r="P373" s="12" t="s">
        <v>1208</v>
      </c>
      <c r="Q373" s="9" t="s">
        <v>919</v>
      </c>
      <c r="R373" s="9" t="s">
        <v>153</v>
      </c>
      <c r="S373" s="14">
        <f t="shared" si="129"/>
        <v>148</v>
      </c>
      <c r="T373" s="14">
        <v>0</v>
      </c>
      <c r="U373" s="14">
        <v>0</v>
      </c>
    </row>
    <row r="374" spans="1:21" x14ac:dyDescent="0.2">
      <c r="A374" s="7" t="s">
        <v>1209</v>
      </c>
      <c r="B374" s="14">
        <v>2025</v>
      </c>
      <c r="C374" s="9" t="s">
        <v>21</v>
      </c>
      <c r="D374" s="9" t="s">
        <v>4</v>
      </c>
      <c r="E374" s="9" t="s">
        <v>634</v>
      </c>
      <c r="F374" s="14">
        <v>518</v>
      </c>
      <c r="G374" s="9" t="s">
        <v>1205</v>
      </c>
      <c r="H374" s="9">
        <f t="shared" si="214"/>
        <v>2026</v>
      </c>
      <c r="I374" s="9">
        <f t="shared" si="215"/>
        <v>5</v>
      </c>
      <c r="J374" s="9" t="s">
        <v>153</v>
      </c>
      <c r="K374" s="9" t="s">
        <v>153</v>
      </c>
      <c r="L374" s="9" t="s">
        <v>348</v>
      </c>
      <c r="M374" s="14">
        <v>1</v>
      </c>
      <c r="N374" s="14">
        <v>59.99</v>
      </c>
      <c r="O374" s="9" t="s">
        <v>632</v>
      </c>
      <c r="P374" s="12" t="s">
        <v>1210</v>
      </c>
      <c r="Q374" s="9" t="s">
        <v>919</v>
      </c>
      <c r="R374" s="9" t="s">
        <v>153</v>
      </c>
      <c r="S374" s="14">
        <f t="shared" si="129"/>
        <v>118</v>
      </c>
      <c r="T374" s="14">
        <v>0</v>
      </c>
      <c r="U374" s="14">
        <v>0</v>
      </c>
    </row>
    <row r="375" spans="1:21" x14ac:dyDescent="0.2">
      <c r="A375" s="7" t="s">
        <v>1211</v>
      </c>
      <c r="B375" s="14">
        <v>2025</v>
      </c>
      <c r="C375" s="9" t="s">
        <v>21</v>
      </c>
      <c r="D375" s="9" t="s">
        <v>4</v>
      </c>
      <c r="E375" s="9" t="s">
        <v>634</v>
      </c>
      <c r="F375" s="14">
        <v>661</v>
      </c>
      <c r="G375" s="9" t="s">
        <v>1212</v>
      </c>
      <c r="H375" s="9">
        <f t="shared" si="214"/>
        <v>2026</v>
      </c>
      <c r="I375" s="9">
        <f t="shared" si="215"/>
        <v>5</v>
      </c>
      <c r="J375" s="9" t="s">
        <v>153</v>
      </c>
      <c r="K375" s="9" t="s">
        <v>153</v>
      </c>
      <c r="L375" s="9" t="s">
        <v>352</v>
      </c>
      <c r="M375" s="14">
        <v>1</v>
      </c>
      <c r="N375" s="35">
        <v>63</v>
      </c>
      <c r="O375" s="9" t="s">
        <v>632</v>
      </c>
      <c r="P375" s="12" t="s">
        <v>1213</v>
      </c>
      <c r="Q375" s="9" t="s">
        <v>442</v>
      </c>
      <c r="R375" s="9" t="s">
        <v>153</v>
      </c>
      <c r="S375" s="14">
        <f t="shared" si="129"/>
        <v>137</v>
      </c>
      <c r="T375" s="14">
        <v>0</v>
      </c>
      <c r="U375" s="14">
        <v>0</v>
      </c>
    </row>
    <row r="376" spans="1:21" x14ac:dyDescent="0.2">
      <c r="A376" s="7" t="s">
        <v>1214</v>
      </c>
      <c r="B376" s="14">
        <v>2021</v>
      </c>
      <c r="C376" s="9" t="s">
        <v>21</v>
      </c>
      <c r="D376" s="9" t="s">
        <v>4</v>
      </c>
      <c r="E376" s="9" t="s">
        <v>634</v>
      </c>
      <c r="F376" s="14">
        <v>263</v>
      </c>
      <c r="G376" s="9" t="s">
        <v>1212</v>
      </c>
      <c r="H376" s="9">
        <f t="shared" si="214"/>
        <v>2026</v>
      </c>
      <c r="I376" s="9">
        <f t="shared" si="215"/>
        <v>5</v>
      </c>
      <c r="J376" s="9" t="s">
        <v>153</v>
      </c>
      <c r="K376" s="9" t="s">
        <v>153</v>
      </c>
      <c r="L376" s="9" t="s">
        <v>343</v>
      </c>
      <c r="M376" s="14">
        <v>2</v>
      </c>
      <c r="N376" s="14">
        <v>49.99</v>
      </c>
      <c r="O376" s="9" t="s">
        <v>632</v>
      </c>
      <c r="P376" s="12" t="s">
        <v>1215</v>
      </c>
      <c r="Q376" s="9" t="s">
        <v>1188</v>
      </c>
      <c r="R376" s="9" t="s">
        <v>153</v>
      </c>
      <c r="S376" s="14">
        <f t="shared" si="129"/>
        <v>138</v>
      </c>
      <c r="T376" s="14">
        <v>0</v>
      </c>
      <c r="U376" s="14">
        <v>0</v>
      </c>
    </row>
    <row r="377" spans="1:21" x14ac:dyDescent="0.2">
      <c r="A377" s="7" t="s">
        <v>1217</v>
      </c>
      <c r="B377" s="14">
        <v>2025</v>
      </c>
      <c r="C377" s="9" t="s">
        <v>21</v>
      </c>
      <c r="D377" s="9" t="s">
        <v>4</v>
      </c>
      <c r="E377" s="9" t="s">
        <v>634</v>
      </c>
      <c r="F377" s="14">
        <v>302</v>
      </c>
      <c r="G377" s="9" t="s">
        <v>1216</v>
      </c>
      <c r="H377" s="9">
        <f t="shared" si="214"/>
        <v>2026</v>
      </c>
      <c r="I377" s="9">
        <f t="shared" si="215"/>
        <v>5</v>
      </c>
      <c r="J377" s="9" t="s">
        <v>153</v>
      </c>
      <c r="K377" s="9" t="s">
        <v>153</v>
      </c>
      <c r="L377" s="9" t="s">
        <v>348</v>
      </c>
      <c r="M377" s="14">
        <v>1</v>
      </c>
      <c r="N377" s="14">
        <v>59.99</v>
      </c>
      <c r="O377" s="9" t="s">
        <v>632</v>
      </c>
      <c r="P377" s="12" t="s">
        <v>1218</v>
      </c>
      <c r="Q377" s="9" t="s">
        <v>919</v>
      </c>
      <c r="R377" s="9" t="s">
        <v>153</v>
      </c>
      <c r="S377" s="14">
        <f t="shared" si="129"/>
        <v>168</v>
      </c>
      <c r="T377" s="14">
        <v>0</v>
      </c>
      <c r="U377" s="14">
        <v>0</v>
      </c>
    </row>
    <row r="378" spans="1:21" x14ac:dyDescent="0.2">
      <c r="A378" s="7" t="s">
        <v>1219</v>
      </c>
      <c r="B378" s="14">
        <v>2025</v>
      </c>
      <c r="C378" s="9" t="s">
        <v>21</v>
      </c>
      <c r="D378" s="9" t="s">
        <v>4</v>
      </c>
      <c r="E378" s="9" t="s">
        <v>634</v>
      </c>
      <c r="F378" s="14">
        <v>186</v>
      </c>
      <c r="G378" s="9" t="s">
        <v>1216</v>
      </c>
      <c r="H378" s="9">
        <f t="shared" si="214"/>
        <v>2026</v>
      </c>
      <c r="I378" s="9">
        <f t="shared" si="215"/>
        <v>5</v>
      </c>
      <c r="J378" s="9" t="s">
        <v>153</v>
      </c>
      <c r="K378" s="9" t="s">
        <v>153</v>
      </c>
      <c r="L378" s="9" t="s">
        <v>1033</v>
      </c>
      <c r="M378" s="14">
        <v>2</v>
      </c>
      <c r="N378" s="14">
        <v>32.99</v>
      </c>
      <c r="O378" s="9" t="s">
        <v>632</v>
      </c>
      <c r="P378" s="22" t="s">
        <v>1220</v>
      </c>
      <c r="Q378" s="9" t="s">
        <v>538</v>
      </c>
      <c r="R378" s="9" t="s">
        <v>153</v>
      </c>
      <c r="S378" s="14">
        <f t="shared" si="129"/>
        <v>32</v>
      </c>
      <c r="T378" s="14">
        <v>0</v>
      </c>
      <c r="U378" s="14">
        <v>0</v>
      </c>
    </row>
    <row r="379" spans="1:21" x14ac:dyDescent="0.2">
      <c r="A379" s="7" t="s">
        <v>1221</v>
      </c>
      <c r="B379" s="14">
        <v>2025</v>
      </c>
      <c r="C379" s="9" t="s">
        <v>21</v>
      </c>
      <c r="D379" s="9" t="s">
        <v>4</v>
      </c>
      <c r="E379" s="9" t="s">
        <v>634</v>
      </c>
      <c r="F379" s="14">
        <v>229</v>
      </c>
      <c r="G379" s="9" t="s">
        <v>1216</v>
      </c>
      <c r="H379" s="9">
        <f t="shared" si="214"/>
        <v>2026</v>
      </c>
      <c r="I379" s="9">
        <f t="shared" si="215"/>
        <v>5</v>
      </c>
      <c r="J379" s="9" t="s">
        <v>153</v>
      </c>
      <c r="K379" s="9" t="s">
        <v>153</v>
      </c>
      <c r="L379" s="9" t="s">
        <v>570</v>
      </c>
      <c r="M379" s="14">
        <v>3</v>
      </c>
      <c r="N379" s="14">
        <v>37.380000000000003</v>
      </c>
      <c r="O379" s="9" t="s">
        <v>632</v>
      </c>
      <c r="P379" s="12" t="s">
        <v>1222</v>
      </c>
      <c r="Q379" s="9" t="s">
        <v>538</v>
      </c>
      <c r="R379" s="9" t="s">
        <v>153</v>
      </c>
      <c r="S379" s="14">
        <f t="shared" si="129"/>
        <v>125</v>
      </c>
      <c r="T379" s="14">
        <v>0</v>
      </c>
      <c r="U379" s="14">
        <v>0</v>
      </c>
    </row>
    <row r="380" spans="1:21" ht="11.25" customHeight="1" x14ac:dyDescent="0.2">
      <c r="A380" s="7" t="s">
        <v>1223</v>
      </c>
      <c r="B380" s="14">
        <v>2025</v>
      </c>
      <c r="C380" s="9" t="s">
        <v>21</v>
      </c>
      <c r="D380" s="9" t="s">
        <v>4</v>
      </c>
      <c r="E380" s="9" t="s">
        <v>634</v>
      </c>
      <c r="F380" s="14">
        <v>366</v>
      </c>
      <c r="G380" s="9" t="s">
        <v>1216</v>
      </c>
      <c r="H380" s="9">
        <f t="shared" si="214"/>
        <v>2026</v>
      </c>
      <c r="I380" s="9">
        <f t="shared" si="215"/>
        <v>5</v>
      </c>
      <c r="J380" s="9" t="s">
        <v>153</v>
      </c>
      <c r="K380" s="9" t="s">
        <v>153</v>
      </c>
      <c r="L380" s="9" t="s">
        <v>842</v>
      </c>
      <c r="M380" s="14">
        <v>1</v>
      </c>
      <c r="N380" s="14">
        <v>39.950000000000003</v>
      </c>
      <c r="O380" s="9" t="s">
        <v>632</v>
      </c>
      <c r="P380" s="12" t="s">
        <v>1224</v>
      </c>
      <c r="Q380" s="9" t="s">
        <v>470</v>
      </c>
      <c r="R380" s="9" t="s">
        <v>153</v>
      </c>
      <c r="S380" s="14">
        <f t="shared" si="129"/>
        <v>65</v>
      </c>
      <c r="T380" s="14">
        <v>0</v>
      </c>
      <c r="U380" s="14">
        <v>0</v>
      </c>
    </row>
    <row r="381" spans="1:21" x14ac:dyDescent="0.2">
      <c r="A381" s="7" t="s">
        <v>1225</v>
      </c>
      <c r="B381" s="14">
        <v>2025</v>
      </c>
      <c r="C381" s="9" t="s">
        <v>21</v>
      </c>
      <c r="D381" s="9" t="s">
        <v>4</v>
      </c>
      <c r="E381" s="9" t="s">
        <v>634</v>
      </c>
      <c r="F381" s="14">
        <v>418</v>
      </c>
      <c r="G381" s="9" t="s">
        <v>1216</v>
      </c>
      <c r="H381" s="9">
        <f t="shared" si="214"/>
        <v>2026</v>
      </c>
      <c r="I381" s="9">
        <f t="shared" si="215"/>
        <v>5</v>
      </c>
      <c r="J381" s="9" t="s">
        <v>153</v>
      </c>
      <c r="K381" s="9" t="s">
        <v>153</v>
      </c>
      <c r="L381" s="9" t="s">
        <v>1226</v>
      </c>
      <c r="M381" s="14">
        <v>1</v>
      </c>
      <c r="N381" s="14">
        <v>54.99</v>
      </c>
      <c r="O381" s="9" t="s">
        <v>632</v>
      </c>
      <c r="P381" s="22" t="s">
        <v>1227</v>
      </c>
      <c r="Q381" s="9" t="s">
        <v>919</v>
      </c>
      <c r="R381" s="9" t="s">
        <v>153</v>
      </c>
      <c r="S381" s="14">
        <f t="shared" si="129"/>
        <v>53</v>
      </c>
      <c r="T381" s="14">
        <v>0</v>
      </c>
      <c r="U381" s="14">
        <v>0</v>
      </c>
    </row>
    <row r="382" spans="1:21" x14ac:dyDescent="0.2">
      <c r="A382" s="7" t="s">
        <v>1228</v>
      </c>
      <c r="B382" s="14">
        <v>2024</v>
      </c>
      <c r="C382" s="9" t="s">
        <v>21</v>
      </c>
      <c r="D382" s="9" t="s">
        <v>4</v>
      </c>
      <c r="E382" s="9" t="s">
        <v>634</v>
      </c>
      <c r="F382" s="14">
        <v>582</v>
      </c>
      <c r="G382" s="9" t="s">
        <v>1216</v>
      </c>
      <c r="H382" s="9">
        <f t="shared" ref="H382:H393" si="216">YEAR(G382)</f>
        <v>2026</v>
      </c>
      <c r="I382" s="9">
        <f t="shared" ref="I382:I391" si="217">MONTH(G382)</f>
        <v>5</v>
      </c>
      <c r="J382" s="9" t="s">
        <v>153</v>
      </c>
      <c r="K382" s="9" t="s">
        <v>153</v>
      </c>
      <c r="L382" s="9" t="s">
        <v>341</v>
      </c>
      <c r="M382" s="14">
        <v>1</v>
      </c>
      <c r="N382" s="14">
        <v>46.99</v>
      </c>
      <c r="O382" s="9" t="s">
        <v>632</v>
      </c>
      <c r="P382" s="12" t="s">
        <v>1229</v>
      </c>
      <c r="Q382" s="9" t="s">
        <v>839</v>
      </c>
      <c r="R382" s="9" t="s">
        <v>153</v>
      </c>
      <c r="S382" s="14">
        <f t="shared" si="129"/>
        <v>101</v>
      </c>
      <c r="T382" s="14">
        <v>0</v>
      </c>
      <c r="U382" s="14">
        <v>0</v>
      </c>
    </row>
    <row r="383" spans="1:21" x14ac:dyDescent="0.2">
      <c r="A383" s="7" t="s">
        <v>1230</v>
      </c>
      <c r="B383" s="14">
        <v>2023</v>
      </c>
      <c r="C383" s="9" t="s">
        <v>21</v>
      </c>
      <c r="D383" s="9" t="s">
        <v>4</v>
      </c>
      <c r="E383" s="9" t="s">
        <v>634</v>
      </c>
      <c r="F383" s="14">
        <v>196</v>
      </c>
      <c r="G383" s="9" t="s">
        <v>1216</v>
      </c>
      <c r="H383" s="9">
        <f t="shared" si="216"/>
        <v>2026</v>
      </c>
      <c r="I383" s="9">
        <f t="shared" si="217"/>
        <v>5</v>
      </c>
      <c r="J383" s="9" t="s">
        <v>153</v>
      </c>
      <c r="K383" s="9" t="s">
        <v>153</v>
      </c>
      <c r="L383" s="9" t="s">
        <v>341</v>
      </c>
      <c r="M383" s="14">
        <v>1</v>
      </c>
      <c r="N383" s="14">
        <v>51.99</v>
      </c>
      <c r="O383" s="9" t="s">
        <v>632</v>
      </c>
      <c r="P383" s="12" t="s">
        <v>1231</v>
      </c>
      <c r="Q383" s="9" t="s">
        <v>839</v>
      </c>
      <c r="R383" s="9" t="s">
        <v>153</v>
      </c>
      <c r="S383" s="14">
        <f t="shared" si="129"/>
        <v>98</v>
      </c>
      <c r="T383" s="14">
        <v>0</v>
      </c>
      <c r="U383" s="14">
        <v>0</v>
      </c>
    </row>
    <row r="384" spans="1:21" x14ac:dyDescent="0.2">
      <c r="A384" s="7" t="s">
        <v>1232</v>
      </c>
      <c r="B384" s="14">
        <v>2023</v>
      </c>
      <c r="C384" s="9" t="s">
        <v>21</v>
      </c>
      <c r="D384" s="9" t="s">
        <v>4</v>
      </c>
      <c r="E384" s="9" t="s">
        <v>634</v>
      </c>
      <c r="F384" s="14">
        <v>259</v>
      </c>
      <c r="G384" s="9" t="s">
        <v>1216</v>
      </c>
      <c r="H384" s="9">
        <f t="shared" si="216"/>
        <v>2026</v>
      </c>
      <c r="I384" s="9">
        <f t="shared" si="217"/>
        <v>5</v>
      </c>
      <c r="J384" s="9" t="s">
        <v>153</v>
      </c>
      <c r="K384" s="9" t="s">
        <v>153</v>
      </c>
      <c r="L384" s="9" t="s">
        <v>343</v>
      </c>
      <c r="M384" s="14">
        <v>2</v>
      </c>
      <c r="N384" s="14">
        <v>56.99</v>
      </c>
      <c r="O384" s="9" t="s">
        <v>632</v>
      </c>
      <c r="P384" s="22" t="s">
        <v>642</v>
      </c>
      <c r="Q384" s="9" t="s">
        <v>441</v>
      </c>
      <c r="R384" s="9" t="s">
        <v>153</v>
      </c>
      <c r="S384" s="14">
        <f t="shared" si="129"/>
        <v>16</v>
      </c>
      <c r="T384" s="14">
        <v>0</v>
      </c>
      <c r="U384" s="14">
        <v>0</v>
      </c>
    </row>
    <row r="385" spans="1:21" x14ac:dyDescent="0.2">
      <c r="A385" s="7" t="s">
        <v>1233</v>
      </c>
      <c r="B385" s="14">
        <v>2024</v>
      </c>
      <c r="C385" s="9" t="s">
        <v>21</v>
      </c>
      <c r="D385" s="9" t="s">
        <v>4</v>
      </c>
      <c r="E385" s="9" t="s">
        <v>634</v>
      </c>
      <c r="F385" s="14">
        <v>252</v>
      </c>
      <c r="G385" s="9" t="s">
        <v>1234</v>
      </c>
      <c r="H385" s="9">
        <f t="shared" si="216"/>
        <v>2026</v>
      </c>
      <c r="I385" s="9">
        <f t="shared" si="217"/>
        <v>6</v>
      </c>
      <c r="J385" s="9" t="s">
        <v>153</v>
      </c>
      <c r="K385" s="9" t="s">
        <v>153</v>
      </c>
      <c r="L385" s="9" t="s">
        <v>341</v>
      </c>
      <c r="M385" s="14">
        <v>3</v>
      </c>
      <c r="N385" s="14">
        <v>36.99</v>
      </c>
      <c r="O385" s="9" t="s">
        <v>632</v>
      </c>
      <c r="P385" s="22" t="s">
        <v>1235</v>
      </c>
      <c r="Q385" s="9" t="s">
        <v>441</v>
      </c>
      <c r="R385" s="9" t="s">
        <v>153</v>
      </c>
      <c r="S385" s="14">
        <f t="shared" si="129"/>
        <v>36</v>
      </c>
      <c r="T385" s="14">
        <v>0</v>
      </c>
      <c r="U385" s="14">
        <v>0</v>
      </c>
    </row>
    <row r="386" spans="1:21" x14ac:dyDescent="0.2">
      <c r="A386" s="7" t="s">
        <v>1236</v>
      </c>
      <c r="B386" s="14">
        <v>2025</v>
      </c>
      <c r="C386" s="9" t="s">
        <v>21</v>
      </c>
      <c r="D386" s="9" t="s">
        <v>4</v>
      </c>
      <c r="E386" s="9" t="s">
        <v>634</v>
      </c>
      <c r="F386" s="14">
        <v>152</v>
      </c>
      <c r="G386" s="9" t="s">
        <v>1237</v>
      </c>
      <c r="H386" s="9">
        <f t="shared" si="216"/>
        <v>2026</v>
      </c>
      <c r="I386" s="9">
        <f t="shared" si="217"/>
        <v>6</v>
      </c>
      <c r="J386" s="9" t="s">
        <v>153</v>
      </c>
      <c r="K386" s="9" t="s">
        <v>153</v>
      </c>
      <c r="L386" s="9" t="s">
        <v>570</v>
      </c>
      <c r="M386" s="14">
        <v>3</v>
      </c>
      <c r="N386" s="35">
        <v>0</v>
      </c>
      <c r="O386" s="9" t="s">
        <v>632</v>
      </c>
      <c r="P386" s="12" t="s">
        <v>1238</v>
      </c>
      <c r="Q386" s="9" t="s">
        <v>442</v>
      </c>
      <c r="R386" s="9" t="s">
        <v>153</v>
      </c>
      <c r="S386" s="14">
        <f t="shared" si="129"/>
        <v>276</v>
      </c>
      <c r="T386" s="14">
        <v>0</v>
      </c>
      <c r="U386" s="14">
        <v>0</v>
      </c>
    </row>
    <row r="387" spans="1:21" x14ac:dyDescent="0.2">
      <c r="A387" s="7" t="s">
        <v>1239</v>
      </c>
      <c r="B387" s="14">
        <v>2025</v>
      </c>
      <c r="C387" s="9" t="s">
        <v>21</v>
      </c>
      <c r="D387" s="9" t="s">
        <v>4</v>
      </c>
      <c r="E387" s="9" t="s">
        <v>634</v>
      </c>
      <c r="F387" s="14">
        <v>137</v>
      </c>
      <c r="G387" s="9" t="s">
        <v>1240</v>
      </c>
      <c r="H387" s="9">
        <f t="shared" si="216"/>
        <v>2026</v>
      </c>
      <c r="I387" s="9">
        <f t="shared" si="217"/>
        <v>6</v>
      </c>
      <c r="J387" s="9" t="s">
        <v>153</v>
      </c>
      <c r="K387" s="9" t="s">
        <v>153</v>
      </c>
      <c r="L387" s="9" t="s">
        <v>570</v>
      </c>
      <c r="M387" s="14">
        <v>3</v>
      </c>
      <c r="N387" s="14">
        <v>9.99</v>
      </c>
      <c r="O387" s="9" t="s">
        <v>632</v>
      </c>
      <c r="P387" s="12" t="s">
        <v>1241</v>
      </c>
      <c r="Q387" s="9" t="s">
        <v>538</v>
      </c>
      <c r="R387" s="9" t="s">
        <v>153</v>
      </c>
      <c r="S387" s="14">
        <f t="shared" si="129"/>
        <v>116</v>
      </c>
      <c r="T387" s="14">
        <v>0</v>
      </c>
      <c r="U387" s="14">
        <v>0</v>
      </c>
    </row>
    <row r="388" spans="1:21" x14ac:dyDescent="0.2">
      <c r="A388" s="7" t="s">
        <v>1242</v>
      </c>
      <c r="B388" s="14">
        <v>2025</v>
      </c>
      <c r="C388" s="9" t="s">
        <v>21</v>
      </c>
      <c r="D388" s="9" t="s">
        <v>4</v>
      </c>
      <c r="E388" s="9" t="s">
        <v>634</v>
      </c>
      <c r="F388" s="14">
        <v>356</v>
      </c>
      <c r="G388" s="9" t="s">
        <v>1240</v>
      </c>
      <c r="H388" s="9">
        <f t="shared" si="216"/>
        <v>2026</v>
      </c>
      <c r="I388" s="9">
        <f t="shared" si="217"/>
        <v>6</v>
      </c>
      <c r="J388" s="9" t="s">
        <v>153</v>
      </c>
      <c r="K388" s="9" t="s">
        <v>153</v>
      </c>
      <c r="L388" s="9" t="s">
        <v>341</v>
      </c>
      <c r="M388" s="14">
        <v>2</v>
      </c>
      <c r="N388" s="14">
        <v>54.99</v>
      </c>
      <c r="O388" s="9" t="s">
        <v>632</v>
      </c>
      <c r="P388" s="22" t="s">
        <v>1243</v>
      </c>
      <c r="Q388" s="9" t="s">
        <v>470</v>
      </c>
      <c r="R388" s="9" t="s">
        <v>153</v>
      </c>
      <c r="S388" s="14">
        <f t="shared" ref="S388" si="218">LEN(P388)</f>
        <v>30</v>
      </c>
      <c r="T388" s="14">
        <v>0</v>
      </c>
      <c r="U388" s="14">
        <v>0</v>
      </c>
    </row>
    <row r="389" spans="1:21" x14ac:dyDescent="0.2">
      <c r="A389" s="7" t="s">
        <v>1244</v>
      </c>
      <c r="B389" s="14">
        <v>2026</v>
      </c>
      <c r="C389" s="9" t="s">
        <v>21</v>
      </c>
      <c r="D389" s="9" t="s">
        <v>4</v>
      </c>
      <c r="E389" s="9" t="s">
        <v>634</v>
      </c>
      <c r="F389" s="14">
        <v>122</v>
      </c>
      <c r="G389" s="9" t="s">
        <v>1240</v>
      </c>
      <c r="H389" s="9">
        <f t="shared" si="216"/>
        <v>2026</v>
      </c>
      <c r="I389" s="9">
        <f t="shared" si="217"/>
        <v>6</v>
      </c>
      <c r="J389" s="9" t="s">
        <v>153</v>
      </c>
      <c r="K389" s="9" t="s">
        <v>153</v>
      </c>
      <c r="L389" s="9" t="s">
        <v>570</v>
      </c>
      <c r="M389" s="14">
        <v>3</v>
      </c>
      <c r="N389" s="14">
        <v>19.989999999999998</v>
      </c>
      <c r="O389" s="9" t="s">
        <v>632</v>
      </c>
      <c r="P389" s="22" t="s">
        <v>1243</v>
      </c>
      <c r="Q389" s="9" t="s">
        <v>923</v>
      </c>
      <c r="R389" s="9" t="s">
        <v>153</v>
      </c>
      <c r="S389" s="14">
        <f t="shared" ref="S389:S401" si="219">LEN(P389)</f>
        <v>30</v>
      </c>
      <c r="T389" s="14">
        <v>0</v>
      </c>
      <c r="U389" s="14">
        <v>0</v>
      </c>
    </row>
    <row r="390" spans="1:21" x14ac:dyDescent="0.2">
      <c r="A390" s="7" t="s">
        <v>1245</v>
      </c>
      <c r="B390" s="14">
        <v>2026</v>
      </c>
      <c r="C390" s="9" t="s">
        <v>21</v>
      </c>
      <c r="D390" s="9" t="s">
        <v>4</v>
      </c>
      <c r="E390" s="9" t="s">
        <v>634</v>
      </c>
      <c r="F390" s="14">
        <v>222</v>
      </c>
      <c r="G390" s="9" t="s">
        <v>1246</v>
      </c>
      <c r="H390" s="9">
        <f t="shared" si="216"/>
        <v>2026</v>
      </c>
      <c r="I390" s="9">
        <f t="shared" si="217"/>
        <v>8</v>
      </c>
      <c r="J390" s="9" t="s">
        <v>153</v>
      </c>
      <c r="K390" s="9" t="s">
        <v>153</v>
      </c>
      <c r="L390" s="9" t="s">
        <v>570</v>
      </c>
      <c r="M390" s="14">
        <v>3</v>
      </c>
      <c r="N390" s="14">
        <v>19.989999999999998</v>
      </c>
      <c r="O390" s="9" t="s">
        <v>632</v>
      </c>
      <c r="P390" s="12" t="s">
        <v>1247</v>
      </c>
      <c r="Q390" s="9" t="s">
        <v>919</v>
      </c>
      <c r="R390" s="9" t="s">
        <v>153</v>
      </c>
      <c r="S390" s="14">
        <f t="shared" si="219"/>
        <v>82</v>
      </c>
      <c r="T390" s="14">
        <v>0</v>
      </c>
      <c r="U390" s="14">
        <v>0</v>
      </c>
    </row>
    <row r="391" spans="1:21" x14ac:dyDescent="0.2">
      <c r="A391" s="7" t="s">
        <v>1248</v>
      </c>
      <c r="B391" s="14">
        <v>2026</v>
      </c>
      <c r="C391" s="9" t="s">
        <v>21</v>
      </c>
      <c r="D391" s="9" t="s">
        <v>4</v>
      </c>
      <c r="E391" s="9" t="s">
        <v>634</v>
      </c>
      <c r="F391" s="14">
        <v>377</v>
      </c>
      <c r="G391" s="9" t="s">
        <v>1249</v>
      </c>
      <c r="H391" s="9">
        <f t="shared" si="216"/>
        <v>2026</v>
      </c>
      <c r="I391" s="9">
        <f t="shared" si="217"/>
        <v>8</v>
      </c>
      <c r="J391" s="9" t="s">
        <v>153</v>
      </c>
      <c r="K391" s="9" t="s">
        <v>153</v>
      </c>
      <c r="L391" s="9" t="s">
        <v>341</v>
      </c>
      <c r="M391" s="14">
        <v>3</v>
      </c>
      <c r="N391" s="14">
        <v>44.99</v>
      </c>
      <c r="O391" s="9" t="s">
        <v>632</v>
      </c>
      <c r="P391" s="12" t="s">
        <v>1250</v>
      </c>
      <c r="Q391" s="9" t="s">
        <v>919</v>
      </c>
      <c r="R391" s="9" t="s">
        <v>153</v>
      </c>
      <c r="S391" s="14">
        <f t="shared" si="219"/>
        <v>83</v>
      </c>
      <c r="T391" s="14">
        <v>0</v>
      </c>
      <c r="U391" s="14">
        <v>0</v>
      </c>
    </row>
    <row r="392" spans="1:21" x14ac:dyDescent="0.2">
      <c r="A392" s="7" t="s">
        <v>1251</v>
      </c>
      <c r="B392" s="14">
        <v>2025</v>
      </c>
      <c r="C392" s="9" t="s">
        <v>21</v>
      </c>
      <c r="D392" s="9" t="s">
        <v>4</v>
      </c>
      <c r="E392" s="9" t="s">
        <v>634</v>
      </c>
      <c r="F392" s="14">
        <v>293</v>
      </c>
      <c r="G392" s="9" t="s">
        <v>1249</v>
      </c>
      <c r="H392" s="9">
        <f t="shared" si="216"/>
        <v>2026</v>
      </c>
      <c r="I392" s="9">
        <f t="shared" ref="I392" si="220">MONTH(G392)</f>
        <v>8</v>
      </c>
      <c r="J392" s="9" t="s">
        <v>153</v>
      </c>
      <c r="K392" s="9" t="s">
        <v>153</v>
      </c>
      <c r="L392" s="9" t="s">
        <v>341</v>
      </c>
      <c r="M392" s="14">
        <v>2</v>
      </c>
      <c r="N392" s="14">
        <v>41.99</v>
      </c>
      <c r="O392" s="9" t="s">
        <v>632</v>
      </c>
      <c r="P392" s="12" t="s">
        <v>1252</v>
      </c>
      <c r="Q392" s="9" t="s">
        <v>441</v>
      </c>
      <c r="R392" s="9" t="s">
        <v>153</v>
      </c>
      <c r="S392" s="14">
        <f t="shared" si="219"/>
        <v>104</v>
      </c>
      <c r="T392" s="14">
        <v>0</v>
      </c>
      <c r="U392" s="14">
        <v>0</v>
      </c>
    </row>
    <row r="393" spans="1:21" x14ac:dyDescent="0.2">
      <c r="A393" s="7" t="s">
        <v>1253</v>
      </c>
      <c r="B393" s="14">
        <v>2025</v>
      </c>
      <c r="C393" s="9" t="s">
        <v>21</v>
      </c>
      <c r="D393" s="9" t="s">
        <v>4</v>
      </c>
      <c r="E393" s="9" t="s">
        <v>634</v>
      </c>
      <c r="F393" s="14">
        <v>346</v>
      </c>
      <c r="G393" s="9" t="s">
        <v>1254</v>
      </c>
      <c r="H393" s="9">
        <f t="shared" si="216"/>
        <v>2026</v>
      </c>
      <c r="I393" s="9">
        <f t="shared" ref="I393" si="221">MONTH(G393)</f>
        <v>8</v>
      </c>
      <c r="J393" s="9" t="s">
        <v>153</v>
      </c>
      <c r="K393" s="9" t="s">
        <v>153</v>
      </c>
      <c r="L393" s="9" t="s">
        <v>345</v>
      </c>
      <c r="M393" s="14">
        <v>1</v>
      </c>
      <c r="N393" s="14">
        <v>59.99</v>
      </c>
      <c r="O393" s="9" t="s">
        <v>632</v>
      </c>
      <c r="P393" s="12" t="s">
        <v>1255</v>
      </c>
      <c r="Q393" s="9" t="s">
        <v>919</v>
      </c>
      <c r="R393" s="9" t="s">
        <v>153</v>
      </c>
      <c r="S393" s="14">
        <f t="shared" si="219"/>
        <v>246</v>
      </c>
      <c r="T393" s="14">
        <v>0</v>
      </c>
      <c r="U393" s="14">
        <v>0</v>
      </c>
    </row>
    <row r="394" spans="1:21" x14ac:dyDescent="0.2">
      <c r="A394" s="7" t="s">
        <v>1256</v>
      </c>
      <c r="B394" s="14">
        <v>2025</v>
      </c>
      <c r="C394" s="9" t="s">
        <v>21</v>
      </c>
      <c r="D394" s="9" t="s">
        <v>4</v>
      </c>
      <c r="E394" s="9" t="s">
        <v>634</v>
      </c>
      <c r="F394" s="14">
        <v>355</v>
      </c>
      <c r="G394" s="9" t="s">
        <v>1258</v>
      </c>
      <c r="H394" s="9">
        <f t="shared" ref="H394:H401" si="222">YEAR(G394)</f>
        <v>2026</v>
      </c>
      <c r="I394" s="9">
        <f t="shared" ref="I394:I396" si="223">MONTH(G394)</f>
        <v>8</v>
      </c>
      <c r="J394" s="9" t="s">
        <v>153</v>
      </c>
      <c r="K394" s="9" t="s">
        <v>153</v>
      </c>
      <c r="L394" s="9" t="s">
        <v>343</v>
      </c>
      <c r="M394" s="14">
        <v>4</v>
      </c>
      <c r="N394" s="14">
        <v>79.989999999999995</v>
      </c>
      <c r="O394" s="9" t="s">
        <v>632</v>
      </c>
      <c r="P394" s="12" t="s">
        <v>1259</v>
      </c>
      <c r="Q394" s="9" t="s">
        <v>919</v>
      </c>
      <c r="R394" s="9" t="s">
        <v>153</v>
      </c>
      <c r="S394" s="14">
        <f t="shared" si="219"/>
        <v>141</v>
      </c>
      <c r="T394" s="14">
        <v>0</v>
      </c>
      <c r="U394" s="14">
        <v>0</v>
      </c>
    </row>
    <row r="395" spans="1:21" x14ac:dyDescent="0.2">
      <c r="A395" s="7" t="s">
        <v>1257</v>
      </c>
      <c r="B395" s="14">
        <v>2025</v>
      </c>
      <c r="C395" s="9" t="s">
        <v>21</v>
      </c>
      <c r="D395" s="9" t="s">
        <v>4</v>
      </c>
      <c r="E395" s="9" t="s">
        <v>634</v>
      </c>
      <c r="F395" s="14">
        <v>317</v>
      </c>
      <c r="G395" s="9" t="s">
        <v>1258</v>
      </c>
      <c r="H395" s="9">
        <f t="shared" si="222"/>
        <v>2026</v>
      </c>
      <c r="I395" s="9">
        <f t="shared" si="223"/>
        <v>8</v>
      </c>
      <c r="J395" s="9" t="s">
        <v>153</v>
      </c>
      <c r="K395" s="9" t="s">
        <v>153</v>
      </c>
      <c r="L395" s="9" t="s">
        <v>570</v>
      </c>
      <c r="M395" s="14">
        <v>1</v>
      </c>
      <c r="N395" s="14">
        <v>29.99</v>
      </c>
      <c r="O395" s="9" t="s">
        <v>632</v>
      </c>
      <c r="P395" s="12" t="s">
        <v>1260</v>
      </c>
      <c r="Q395" s="9" t="s">
        <v>919</v>
      </c>
      <c r="R395" s="9" t="s">
        <v>153</v>
      </c>
      <c r="S395" s="14">
        <f t="shared" si="219"/>
        <v>167</v>
      </c>
      <c r="T395" s="14">
        <v>0</v>
      </c>
      <c r="U395" s="14">
        <v>0</v>
      </c>
    </row>
    <row r="396" spans="1:21" x14ac:dyDescent="0.2">
      <c r="A396" s="7" t="s">
        <v>1261</v>
      </c>
      <c r="B396" s="14">
        <v>2017</v>
      </c>
      <c r="C396" s="9" t="s">
        <v>21</v>
      </c>
      <c r="D396" s="9" t="s">
        <v>4</v>
      </c>
      <c r="E396" s="9" t="s">
        <v>634</v>
      </c>
      <c r="F396" s="14">
        <v>306</v>
      </c>
      <c r="G396" s="9" t="s">
        <v>1262</v>
      </c>
      <c r="H396" s="9">
        <f t="shared" si="222"/>
        <v>2026</v>
      </c>
      <c r="I396" s="9">
        <f t="shared" si="223"/>
        <v>9</v>
      </c>
      <c r="J396" s="9" t="s">
        <v>153</v>
      </c>
      <c r="K396" s="9" t="s">
        <v>153</v>
      </c>
      <c r="L396" s="9" t="s">
        <v>1263</v>
      </c>
      <c r="M396" s="14">
        <v>1</v>
      </c>
      <c r="N396" s="14">
        <v>32</v>
      </c>
      <c r="O396" s="9" t="s">
        <v>632</v>
      </c>
      <c r="P396" s="12" t="s">
        <v>1264</v>
      </c>
      <c r="Q396" s="9" t="s">
        <v>1187</v>
      </c>
      <c r="R396" s="9" t="s">
        <v>153</v>
      </c>
      <c r="S396" s="14">
        <f t="shared" si="219"/>
        <v>91</v>
      </c>
      <c r="T396" s="14">
        <v>0</v>
      </c>
      <c r="U396" s="14">
        <v>0</v>
      </c>
    </row>
    <row r="397" spans="1:21" x14ac:dyDescent="0.2">
      <c r="A397" s="7" t="s">
        <v>1265</v>
      </c>
      <c r="B397" s="14">
        <v>2026</v>
      </c>
      <c r="C397" s="9" t="s">
        <v>21</v>
      </c>
      <c r="D397" s="9" t="s">
        <v>4</v>
      </c>
      <c r="E397" s="9" t="s">
        <v>634</v>
      </c>
      <c r="F397" s="14">
        <v>114</v>
      </c>
      <c r="G397" s="9" t="s">
        <v>1262</v>
      </c>
      <c r="H397" s="9">
        <f t="shared" si="222"/>
        <v>2026</v>
      </c>
      <c r="I397" s="9">
        <f t="shared" ref="I397:I401" si="224">MONTH(G397)</f>
        <v>9</v>
      </c>
      <c r="J397" s="9" t="s">
        <v>153</v>
      </c>
      <c r="K397" s="9" t="s">
        <v>153</v>
      </c>
      <c r="L397" s="9" t="s">
        <v>570</v>
      </c>
      <c r="M397" s="14">
        <v>1</v>
      </c>
      <c r="N397" s="35">
        <v>0</v>
      </c>
      <c r="O397" s="9" t="s">
        <v>632</v>
      </c>
      <c r="P397" s="22" t="s">
        <v>1266</v>
      </c>
      <c r="Q397" s="9" t="s">
        <v>538</v>
      </c>
      <c r="R397" s="9" t="s">
        <v>153</v>
      </c>
      <c r="S397" s="14">
        <f t="shared" si="219"/>
        <v>172</v>
      </c>
      <c r="T397" s="14">
        <v>0</v>
      </c>
      <c r="U397" s="14">
        <v>0</v>
      </c>
    </row>
    <row r="398" spans="1:21" x14ac:dyDescent="0.2">
      <c r="A398" s="7" t="s">
        <v>1267</v>
      </c>
      <c r="B398" s="14">
        <v>2026</v>
      </c>
      <c r="C398" s="9" t="s">
        <v>21</v>
      </c>
      <c r="D398" s="9" t="s">
        <v>4</v>
      </c>
      <c r="E398" s="9" t="s">
        <v>634</v>
      </c>
      <c r="F398" s="14">
        <v>246</v>
      </c>
      <c r="G398" s="9" t="s">
        <v>1262</v>
      </c>
      <c r="H398" s="9">
        <f t="shared" si="222"/>
        <v>2026</v>
      </c>
      <c r="I398" s="9">
        <f t="shared" si="224"/>
        <v>9</v>
      </c>
      <c r="J398" s="9" t="s">
        <v>153</v>
      </c>
      <c r="K398" s="9" t="s">
        <v>153</v>
      </c>
      <c r="L398" s="9" t="s">
        <v>570</v>
      </c>
      <c r="M398" s="14">
        <v>3</v>
      </c>
      <c r="N398" s="14">
        <v>34.99</v>
      </c>
      <c r="O398" s="9" t="s">
        <v>632</v>
      </c>
      <c r="P398" s="12" t="s">
        <v>1268</v>
      </c>
      <c r="Q398" s="9" t="s">
        <v>442</v>
      </c>
      <c r="R398" s="9" t="s">
        <v>153</v>
      </c>
      <c r="S398" s="14">
        <f t="shared" si="219"/>
        <v>153</v>
      </c>
      <c r="T398" s="14">
        <v>0</v>
      </c>
      <c r="U398" s="14">
        <v>0</v>
      </c>
    </row>
    <row r="399" spans="1:21" x14ac:dyDescent="0.2">
      <c r="A399" s="7" t="s">
        <v>1269</v>
      </c>
      <c r="B399" s="14">
        <v>2022</v>
      </c>
      <c r="C399" s="9" t="s">
        <v>21</v>
      </c>
      <c r="D399" s="9" t="s">
        <v>4</v>
      </c>
      <c r="E399" s="9" t="s">
        <v>634</v>
      </c>
      <c r="F399" s="14">
        <v>256</v>
      </c>
      <c r="G399" s="9" t="s">
        <v>1270</v>
      </c>
      <c r="H399" s="9">
        <f t="shared" si="222"/>
        <v>2026</v>
      </c>
      <c r="I399" s="9">
        <f t="shared" si="224"/>
        <v>9</v>
      </c>
      <c r="J399" s="9" t="s">
        <v>153</v>
      </c>
      <c r="K399" s="9" t="s">
        <v>153</v>
      </c>
      <c r="L399" s="9" t="s">
        <v>346</v>
      </c>
      <c r="M399" s="14">
        <v>2</v>
      </c>
      <c r="N399" s="14">
        <v>39.99</v>
      </c>
      <c r="O399" s="9" t="s">
        <v>632</v>
      </c>
      <c r="P399" s="12" t="s">
        <v>1271</v>
      </c>
      <c r="Q399" s="9" t="s">
        <v>442</v>
      </c>
      <c r="R399" s="9" t="s">
        <v>153</v>
      </c>
      <c r="S399" s="14">
        <f t="shared" si="219"/>
        <v>72</v>
      </c>
      <c r="T399" s="14">
        <v>0</v>
      </c>
      <c r="U399" s="14">
        <v>0</v>
      </c>
    </row>
    <row r="400" spans="1:21" x14ac:dyDescent="0.2">
      <c r="A400" s="7" t="s">
        <v>1272</v>
      </c>
      <c r="B400" s="14">
        <v>2026</v>
      </c>
      <c r="C400" s="9" t="s">
        <v>21</v>
      </c>
      <c r="D400" s="9" t="s">
        <v>4</v>
      </c>
      <c r="E400" s="9" t="s">
        <v>634</v>
      </c>
      <c r="F400" s="14">
        <v>458</v>
      </c>
      <c r="G400" s="9" t="s">
        <v>1270</v>
      </c>
      <c r="H400" s="9">
        <f t="shared" si="222"/>
        <v>2026</v>
      </c>
      <c r="I400" s="9">
        <f t="shared" si="224"/>
        <v>9</v>
      </c>
      <c r="J400" s="9" t="s">
        <v>153</v>
      </c>
      <c r="K400" s="9" t="s">
        <v>153</v>
      </c>
      <c r="L400" s="9" t="s">
        <v>345</v>
      </c>
      <c r="M400" s="14">
        <v>2</v>
      </c>
      <c r="N400" s="14">
        <v>59.99</v>
      </c>
      <c r="O400" s="9" t="s">
        <v>632</v>
      </c>
      <c r="P400" s="12" t="s">
        <v>1273</v>
      </c>
      <c r="Q400" s="9" t="s">
        <v>538</v>
      </c>
      <c r="R400" s="9" t="s">
        <v>153</v>
      </c>
      <c r="S400" s="14">
        <f t="shared" si="219"/>
        <v>143</v>
      </c>
      <c r="T400" s="14">
        <v>0</v>
      </c>
      <c r="U400" s="14">
        <v>0</v>
      </c>
    </row>
    <row r="401" spans="1:21" x14ac:dyDescent="0.2">
      <c r="A401" s="7" t="s">
        <v>1274</v>
      </c>
      <c r="B401" s="14">
        <v>2026</v>
      </c>
      <c r="C401" s="9" t="s">
        <v>21</v>
      </c>
      <c r="D401" s="9" t="s">
        <v>4</v>
      </c>
      <c r="E401" s="9" t="s">
        <v>634</v>
      </c>
      <c r="F401" s="14">
        <v>167</v>
      </c>
      <c r="G401" s="9" t="s">
        <v>1275</v>
      </c>
      <c r="H401" s="9">
        <f t="shared" si="222"/>
        <v>2026</v>
      </c>
      <c r="I401" s="9">
        <f t="shared" si="224"/>
        <v>10</v>
      </c>
      <c r="J401" s="9" t="s">
        <v>153</v>
      </c>
      <c r="K401" s="9" t="s">
        <v>153</v>
      </c>
      <c r="L401" s="9" t="s">
        <v>348</v>
      </c>
      <c r="M401" s="14">
        <v>2</v>
      </c>
      <c r="N401" s="14">
        <v>19.989999999999998</v>
      </c>
      <c r="O401" s="9" t="s">
        <v>632</v>
      </c>
      <c r="P401" s="7" t="s">
        <v>1276</v>
      </c>
      <c r="Q401" s="9" t="s">
        <v>919</v>
      </c>
      <c r="R401" s="9" t="s">
        <v>153</v>
      </c>
      <c r="S401" s="14">
        <f t="shared" si="219"/>
        <v>54</v>
      </c>
      <c r="T401" s="14">
        <v>0</v>
      </c>
      <c r="U401" s="14">
        <v>0</v>
      </c>
    </row>
    <row r="402" spans="1:21" x14ac:dyDescent="0.2">
      <c r="A402" s="7" t="s">
        <v>1277</v>
      </c>
      <c r="B402" s="14">
        <v>2026</v>
      </c>
      <c r="C402" s="9" t="s">
        <v>21</v>
      </c>
      <c r="D402" s="9" t="s">
        <v>4</v>
      </c>
      <c r="E402" s="9" t="s">
        <v>634</v>
      </c>
      <c r="F402" s="14">
        <v>293</v>
      </c>
      <c r="G402" s="9" t="s">
        <v>1278</v>
      </c>
      <c r="H402" s="9">
        <f t="shared" ref="H402:H403" si="225">YEAR(G402)</f>
        <v>2026</v>
      </c>
      <c r="I402" s="9">
        <f t="shared" ref="I402:I403" si="226">MONTH(G402)</f>
        <v>10</v>
      </c>
      <c r="J402" s="9" t="s">
        <v>153</v>
      </c>
      <c r="K402" s="9" t="s">
        <v>153</v>
      </c>
      <c r="L402" s="9" t="s">
        <v>343</v>
      </c>
      <c r="M402" s="14">
        <v>4</v>
      </c>
      <c r="N402" s="14">
        <v>69.989999999999995</v>
      </c>
      <c r="O402" s="9" t="s">
        <v>632</v>
      </c>
      <c r="P402" s="7" t="s">
        <v>1279</v>
      </c>
      <c r="Q402" s="9" t="s">
        <v>919</v>
      </c>
      <c r="R402" s="9" t="s">
        <v>153</v>
      </c>
      <c r="S402" s="14">
        <f>LEN(P402)</f>
        <v>252</v>
      </c>
      <c r="T402" s="14">
        <v>0</v>
      </c>
      <c r="U402" s="14">
        <v>0</v>
      </c>
    </row>
    <row r="403" spans="1:21" x14ac:dyDescent="0.2">
      <c r="A403" s="7" t="s">
        <v>1280</v>
      </c>
      <c r="B403" s="14">
        <v>2026</v>
      </c>
      <c r="C403" s="9" t="s">
        <v>21</v>
      </c>
      <c r="D403" s="9" t="s">
        <v>4</v>
      </c>
      <c r="E403" s="9" t="s">
        <v>634</v>
      </c>
      <c r="F403" s="44">
        <v>65</v>
      </c>
      <c r="G403" s="9" t="s">
        <v>1281</v>
      </c>
      <c r="H403" s="9">
        <f t="shared" si="225"/>
        <v>2026</v>
      </c>
      <c r="I403" s="9">
        <f t="shared" si="226"/>
        <v>10</v>
      </c>
      <c r="J403" s="9" t="s">
        <v>153</v>
      </c>
      <c r="K403" s="9" t="s">
        <v>153</v>
      </c>
      <c r="L403" s="9" t="s">
        <v>343</v>
      </c>
      <c r="M403" s="44">
        <v>2</v>
      </c>
      <c r="N403" s="44">
        <v>49</v>
      </c>
      <c r="O403" s="9" t="s">
        <v>632</v>
      </c>
      <c r="P403" s="7" t="s">
        <v>1282</v>
      </c>
      <c r="Q403" s="9" t="s">
        <v>919</v>
      </c>
      <c r="R403" s="9" t="s">
        <v>153</v>
      </c>
      <c r="S403" s="14">
        <f>LEN(P403)</f>
        <v>73</v>
      </c>
      <c r="T403" s="14">
        <v>0</v>
      </c>
      <c r="U403" s="14">
        <v>0</v>
      </c>
    </row>
    <row r="404" spans="1:21" x14ac:dyDescent="0.2">
      <c r="A404" s="7" t="s">
        <v>1283</v>
      </c>
      <c r="B404" s="14">
        <v>2025</v>
      </c>
      <c r="C404" s="9" t="s">
        <v>21</v>
      </c>
      <c r="D404" s="9" t="s">
        <v>4</v>
      </c>
      <c r="E404" s="9" t="s">
        <v>634</v>
      </c>
      <c r="F404" s="44">
        <v>113</v>
      </c>
      <c r="G404" s="9" t="s">
        <v>1281</v>
      </c>
      <c r="H404" s="9">
        <f t="shared" ref="H404" si="227">YEAR(G404)</f>
        <v>2026</v>
      </c>
      <c r="I404" s="9">
        <f t="shared" ref="I404" si="228">MONTH(G404)</f>
        <v>10</v>
      </c>
      <c r="J404" s="9" t="s">
        <v>153</v>
      </c>
      <c r="K404" s="9" t="s">
        <v>153</v>
      </c>
      <c r="L404" s="9" t="s">
        <v>570</v>
      </c>
      <c r="M404" s="44">
        <v>1</v>
      </c>
      <c r="N404" s="44">
        <v>14.79</v>
      </c>
      <c r="O404" s="9" t="s">
        <v>632</v>
      </c>
      <c r="P404" s="7" t="s">
        <v>1284</v>
      </c>
      <c r="Q404" s="9" t="s">
        <v>919</v>
      </c>
      <c r="R404" s="9" t="s">
        <v>153</v>
      </c>
      <c r="S404" s="14">
        <f>LEN(P404)</f>
        <v>82</v>
      </c>
      <c r="T404" s="14">
        <v>0</v>
      </c>
      <c r="U404" s="14">
        <v>0</v>
      </c>
    </row>
    <row r="405" spans="1:21" x14ac:dyDescent="0.2">
      <c r="A405" s="7" t="s">
        <v>1285</v>
      </c>
      <c r="B405" s="14">
        <v>2026</v>
      </c>
      <c r="C405" s="9" t="s">
        <v>21</v>
      </c>
      <c r="D405" s="9" t="s">
        <v>4</v>
      </c>
      <c r="E405" s="9" t="s">
        <v>634</v>
      </c>
      <c r="F405" s="44">
        <v>51</v>
      </c>
      <c r="G405" s="9" t="s">
        <v>1286</v>
      </c>
      <c r="H405" s="9">
        <f t="shared" ref="H405" si="229">YEAR(G405)</f>
        <v>2026</v>
      </c>
      <c r="I405" s="9">
        <f t="shared" ref="I405" si="230">MONTH(G405)</f>
        <v>10</v>
      </c>
      <c r="J405" s="9" t="s">
        <v>153</v>
      </c>
      <c r="K405" s="9" t="s">
        <v>153</v>
      </c>
      <c r="L405" s="9" t="s">
        <v>570</v>
      </c>
      <c r="M405" s="44">
        <v>1</v>
      </c>
      <c r="N405" s="44">
        <v>0</v>
      </c>
      <c r="O405" s="9" t="s">
        <v>632</v>
      </c>
      <c r="P405" s="7" t="s">
        <v>1287</v>
      </c>
      <c r="Q405" s="9" t="s">
        <v>919</v>
      </c>
      <c r="R405" s="9" t="s">
        <v>153</v>
      </c>
      <c r="S405" s="14">
        <f>LEN(P405)</f>
        <v>22</v>
      </c>
      <c r="T405" s="14">
        <v>0</v>
      </c>
      <c r="U405" s="14">
        <v>0</v>
      </c>
    </row>
    <row r="406" spans="1:21" x14ac:dyDescent="0.2">
      <c r="A406" s="7" t="s">
        <v>1288</v>
      </c>
      <c r="B406" s="14">
        <v>2026</v>
      </c>
      <c r="C406" s="9" t="s">
        <v>21</v>
      </c>
      <c r="D406" s="9" t="s">
        <v>4</v>
      </c>
      <c r="E406" s="9" t="s">
        <v>634</v>
      </c>
      <c r="F406" s="44">
        <v>110</v>
      </c>
      <c r="G406" s="9" t="s">
        <v>1289</v>
      </c>
      <c r="H406" s="9">
        <f t="shared" ref="H406" si="231">YEAR(G406)</f>
        <v>2026</v>
      </c>
      <c r="I406" s="9">
        <f t="shared" ref="I406" si="232">MONTH(G406)</f>
        <v>10</v>
      </c>
      <c r="J406" s="9" t="s">
        <v>153</v>
      </c>
      <c r="K406" s="9" t="s">
        <v>153</v>
      </c>
      <c r="L406" s="9" t="s">
        <v>570</v>
      </c>
      <c r="M406" s="44">
        <v>3</v>
      </c>
      <c r="N406" s="44">
        <v>0</v>
      </c>
      <c r="O406" s="9" t="s">
        <v>632</v>
      </c>
      <c r="P406" s="7" t="s">
        <v>1290</v>
      </c>
      <c r="Q406" s="9" t="s">
        <v>919</v>
      </c>
      <c r="R406" s="9" t="s">
        <v>153</v>
      </c>
      <c r="S406" s="14">
        <f>LEN(P406)</f>
        <v>36</v>
      </c>
      <c r="T406" s="14">
        <v>0</v>
      </c>
      <c r="U406" s="14">
        <v>0</v>
      </c>
    </row>
    <row r="407" spans="1:21" x14ac:dyDescent="0.2">
      <c r="A407" s="7" t="s">
        <v>1291</v>
      </c>
      <c r="B407" s="14">
        <v>2025</v>
      </c>
      <c r="C407" s="9" t="s">
        <v>21</v>
      </c>
      <c r="D407" s="9" t="s">
        <v>4</v>
      </c>
      <c r="E407" s="9" t="s">
        <v>634</v>
      </c>
      <c r="F407" s="44">
        <v>171</v>
      </c>
      <c r="G407" s="9" t="s">
        <v>1289</v>
      </c>
      <c r="H407" s="9">
        <f t="shared" ref="H407" si="233">YEAR(G407)</f>
        <v>2026</v>
      </c>
      <c r="I407" s="9">
        <f t="shared" ref="I407" si="234">MONTH(G407)</f>
        <v>10</v>
      </c>
      <c r="J407" s="9" t="s">
        <v>153</v>
      </c>
      <c r="K407" s="9" t="s">
        <v>153</v>
      </c>
      <c r="L407" s="9" t="s">
        <v>570</v>
      </c>
      <c r="M407" s="44">
        <v>3</v>
      </c>
      <c r="N407" s="44">
        <v>25</v>
      </c>
      <c r="O407" s="9" t="s">
        <v>632</v>
      </c>
      <c r="P407" s="12" t="s">
        <v>1292</v>
      </c>
      <c r="Q407" s="9" t="s">
        <v>442</v>
      </c>
      <c r="R407" s="9" t="s">
        <v>153</v>
      </c>
      <c r="S407" s="14">
        <f>LEN(P407)</f>
        <v>185</v>
      </c>
      <c r="T407" s="14">
        <v>0</v>
      </c>
      <c r="U407" s="14">
        <v>0</v>
      </c>
    </row>
    <row r="408" spans="1:21" x14ac:dyDescent="0.2">
      <c r="A408" s="7" t="s">
        <v>1293</v>
      </c>
      <c r="B408" s="14">
        <v>2026</v>
      </c>
      <c r="C408" s="9" t="s">
        <v>21</v>
      </c>
      <c r="D408" s="9" t="s">
        <v>4</v>
      </c>
      <c r="E408" s="9" t="s">
        <v>634</v>
      </c>
      <c r="F408" s="44">
        <v>349</v>
      </c>
      <c r="G408" s="9" t="s">
        <v>1289</v>
      </c>
      <c r="H408" s="9">
        <f t="shared" ref="H408" si="235">YEAR(G408)</f>
        <v>2026</v>
      </c>
      <c r="I408" s="9">
        <f t="shared" ref="I408" si="236">MONTH(G408)</f>
        <v>10</v>
      </c>
      <c r="J408" s="9" t="s">
        <v>153</v>
      </c>
      <c r="K408" s="9" t="s">
        <v>153</v>
      </c>
      <c r="L408" s="9" t="s">
        <v>352</v>
      </c>
      <c r="M408" s="44">
        <v>1</v>
      </c>
      <c r="N408" s="44">
        <v>145</v>
      </c>
      <c r="O408" s="9" t="s">
        <v>632</v>
      </c>
      <c r="P408" s="12" t="s">
        <v>1294</v>
      </c>
      <c r="Q408" s="9" t="s">
        <v>442</v>
      </c>
      <c r="R408" s="9" t="s">
        <v>153</v>
      </c>
      <c r="S408" s="14">
        <f>LEN(P408)</f>
        <v>205</v>
      </c>
      <c r="T408" s="14">
        <v>0</v>
      </c>
      <c r="U408" s="14">
        <v>0</v>
      </c>
    </row>
    <row r="409" spans="1:21" x14ac:dyDescent="0.2">
      <c r="A409" s="7" t="s">
        <v>1295</v>
      </c>
      <c r="B409" s="14">
        <v>2026</v>
      </c>
      <c r="C409" s="9" t="s">
        <v>21</v>
      </c>
      <c r="D409" s="9" t="s">
        <v>4</v>
      </c>
      <c r="E409" s="9" t="s">
        <v>634</v>
      </c>
      <c r="F409" s="44">
        <v>383</v>
      </c>
      <c r="G409" s="9" t="s">
        <v>1296</v>
      </c>
      <c r="H409" s="9">
        <f t="shared" ref="H409" si="237">YEAR(G409)</f>
        <v>2026</v>
      </c>
      <c r="I409" s="9">
        <f t="shared" ref="I409" si="238">MONTH(G409)</f>
        <v>10</v>
      </c>
      <c r="J409" s="9" t="s">
        <v>153</v>
      </c>
      <c r="K409" s="9" t="s">
        <v>153</v>
      </c>
      <c r="L409" s="9" t="s">
        <v>570</v>
      </c>
      <c r="M409" s="44">
        <v>2</v>
      </c>
      <c r="N409" s="44">
        <v>0</v>
      </c>
      <c r="O409" s="9" t="s">
        <v>632</v>
      </c>
      <c r="P409" s="7" t="s">
        <v>1297</v>
      </c>
      <c r="Q409" s="9" t="s">
        <v>919</v>
      </c>
      <c r="R409" s="9" t="s">
        <v>153</v>
      </c>
      <c r="S409" s="14">
        <f>LEN(P409)</f>
        <v>73</v>
      </c>
      <c r="T409" s="14">
        <v>0</v>
      </c>
      <c r="U409" s="14">
        <v>0</v>
      </c>
    </row>
    <row r="410" spans="1:21" x14ac:dyDescent="0.2">
      <c r="A410" s="7" t="s">
        <v>1298</v>
      </c>
      <c r="B410" s="14">
        <v>2026</v>
      </c>
      <c r="C410" s="9" t="s">
        <v>21</v>
      </c>
      <c r="D410" s="9" t="s">
        <v>4</v>
      </c>
      <c r="E410" s="9" t="s">
        <v>634</v>
      </c>
      <c r="F410" s="44">
        <v>75</v>
      </c>
      <c r="G410" s="9" t="s">
        <v>1299</v>
      </c>
      <c r="H410" s="9">
        <f t="shared" ref="H410" si="239">YEAR(G410)</f>
        <v>2026</v>
      </c>
      <c r="I410" s="9">
        <f t="shared" ref="I410" si="240">MONTH(G410)</f>
        <v>10</v>
      </c>
      <c r="J410" s="9" t="s">
        <v>153</v>
      </c>
      <c r="K410" s="9" t="s">
        <v>153</v>
      </c>
      <c r="L410" s="9" t="s">
        <v>343</v>
      </c>
      <c r="M410" s="44">
        <v>3</v>
      </c>
      <c r="N410" s="44">
        <v>49</v>
      </c>
      <c r="O410" s="9" t="s">
        <v>632</v>
      </c>
      <c r="P410" s="7" t="s">
        <v>1300</v>
      </c>
      <c r="Q410" s="9" t="s">
        <v>919</v>
      </c>
      <c r="R410" s="9" t="s">
        <v>153</v>
      </c>
      <c r="S410" s="14">
        <f>LEN(P410)</f>
        <v>170</v>
      </c>
      <c r="T410" s="14">
        <v>0</v>
      </c>
      <c r="U410" s="14">
        <v>0</v>
      </c>
    </row>
    <row r="411" spans="1:21" x14ac:dyDescent="0.2">
      <c r="A411" s="7"/>
      <c r="B411" s="9"/>
      <c r="C411" s="9"/>
      <c r="D411" s="9"/>
      <c r="E411" s="9"/>
      <c r="F411" s="9"/>
      <c r="G411" s="9"/>
      <c r="H411" s="9"/>
      <c r="I411" s="9"/>
      <c r="J411" s="9"/>
      <c r="K411" s="9"/>
      <c r="L411" s="9"/>
      <c r="M411" s="9"/>
      <c r="N411" s="9"/>
      <c r="O411" s="9"/>
      <c r="P411" s="7"/>
      <c r="Q411" s="9"/>
      <c r="R411" s="9"/>
      <c r="S411" s="14"/>
      <c r="T411" s="9"/>
      <c r="U411" s="14"/>
    </row>
    <row r="412" spans="1:21" x14ac:dyDescent="0.2">
      <c r="A412" s="7"/>
      <c r="B412" s="9"/>
      <c r="C412" s="9"/>
      <c r="D412" s="9"/>
      <c r="E412" s="9"/>
      <c r="F412" s="9"/>
      <c r="G412" s="9"/>
      <c r="H412" s="9"/>
      <c r="I412" s="9"/>
      <c r="J412" s="9"/>
      <c r="K412" s="9"/>
      <c r="L412" s="9"/>
      <c r="M412" s="9"/>
      <c r="N412" s="9"/>
      <c r="O412" s="9"/>
      <c r="P412" s="7"/>
      <c r="Q412" s="9"/>
      <c r="R412" s="9"/>
      <c r="S412" s="14"/>
      <c r="T412" s="9"/>
      <c r="U412" s="14"/>
    </row>
    <row r="413" spans="1:21" x14ac:dyDescent="0.2">
      <c r="A413" s="7"/>
      <c r="B413" s="9"/>
      <c r="C413" s="9"/>
      <c r="D413" s="9"/>
      <c r="E413" s="9"/>
      <c r="F413" s="9"/>
      <c r="G413" s="9"/>
      <c r="H413" s="9"/>
      <c r="I413" s="9"/>
      <c r="J413" s="9"/>
      <c r="K413" s="9"/>
      <c r="L413" s="9"/>
      <c r="M413" s="9"/>
      <c r="N413" s="9"/>
      <c r="O413" s="9"/>
      <c r="P413" s="7"/>
      <c r="Q413" s="9"/>
      <c r="R413" s="9"/>
      <c r="S413" s="14"/>
      <c r="T413" s="9"/>
      <c r="U413" s="14"/>
    </row>
    <row r="414" spans="1:21" x14ac:dyDescent="0.2">
      <c r="A414" s="7"/>
      <c r="B414" s="9"/>
      <c r="C414" s="9"/>
      <c r="D414" s="9"/>
      <c r="E414" s="9"/>
      <c r="F414" s="9"/>
      <c r="G414" s="9"/>
      <c r="H414" s="9"/>
      <c r="I414" s="9"/>
      <c r="J414" s="9"/>
      <c r="K414" s="9"/>
      <c r="L414" s="9"/>
      <c r="M414" s="9"/>
      <c r="N414" s="9"/>
      <c r="O414" s="9"/>
      <c r="P414" s="7"/>
      <c r="Q414" s="9"/>
      <c r="R414" s="9"/>
      <c r="S414" s="14"/>
      <c r="T414" s="9"/>
      <c r="U414" s="14"/>
    </row>
    <row r="415" spans="1:21" x14ac:dyDescent="0.2">
      <c r="A415" s="7"/>
      <c r="B415" s="9"/>
      <c r="C415" s="9"/>
      <c r="D415" s="9"/>
      <c r="E415" s="9"/>
      <c r="F415" s="9"/>
      <c r="G415" s="9"/>
      <c r="H415" s="9"/>
      <c r="I415" s="9"/>
      <c r="J415" s="9"/>
      <c r="K415" s="9"/>
      <c r="L415" s="9"/>
      <c r="M415" s="9"/>
      <c r="N415" s="9"/>
      <c r="O415" s="9"/>
      <c r="P415" s="7"/>
      <c r="Q415" s="9"/>
      <c r="R415" s="9"/>
      <c r="S415" s="14"/>
      <c r="T415" s="9"/>
      <c r="U415" s="14"/>
    </row>
    <row r="416" spans="1:21" x14ac:dyDescent="0.2">
      <c r="A416" s="7"/>
      <c r="B416" s="9"/>
      <c r="C416" s="9"/>
      <c r="D416" s="9"/>
      <c r="E416" s="9"/>
      <c r="F416" s="9"/>
      <c r="G416" s="9"/>
      <c r="H416" s="9"/>
      <c r="I416" s="9"/>
      <c r="J416" s="9"/>
      <c r="K416" s="9"/>
      <c r="L416" s="9"/>
      <c r="M416" s="9"/>
      <c r="N416" s="9"/>
      <c r="O416" s="9"/>
      <c r="P416" s="7"/>
      <c r="Q416" s="9"/>
      <c r="R416" s="9"/>
      <c r="S416" s="14"/>
      <c r="T416" s="9"/>
      <c r="U416" s="14"/>
    </row>
    <row r="417" spans="1:21" x14ac:dyDescent="0.2">
      <c r="A417" s="7"/>
      <c r="B417" s="9"/>
      <c r="C417" s="9"/>
      <c r="D417" s="9"/>
      <c r="E417" s="9"/>
      <c r="F417" s="9"/>
      <c r="G417" s="9"/>
      <c r="H417" s="9"/>
      <c r="I417" s="9"/>
      <c r="J417" s="9"/>
      <c r="K417" s="9"/>
      <c r="L417" s="9"/>
      <c r="M417" s="9"/>
      <c r="N417" s="9"/>
      <c r="O417" s="9"/>
      <c r="P417" s="7"/>
      <c r="Q417" s="9"/>
      <c r="R417" s="9"/>
      <c r="S417" s="14"/>
      <c r="T417" s="9"/>
      <c r="U417" s="14"/>
    </row>
    <row r="418" spans="1:21" x14ac:dyDescent="0.2">
      <c r="A418" s="7"/>
      <c r="B418" s="9"/>
      <c r="C418" s="9"/>
      <c r="D418" s="9"/>
      <c r="E418" s="9"/>
      <c r="F418" s="9"/>
      <c r="G418" s="9"/>
      <c r="H418" s="9"/>
      <c r="I418" s="9"/>
      <c r="J418" s="9"/>
      <c r="K418" s="9"/>
      <c r="L418" s="9"/>
      <c r="M418" s="9"/>
      <c r="N418" s="9"/>
      <c r="O418" s="9"/>
      <c r="P418" s="7"/>
      <c r="Q418" s="9"/>
      <c r="R418" s="9"/>
      <c r="S418" s="14"/>
      <c r="T418" s="9"/>
      <c r="U418" s="14"/>
    </row>
    <row r="419" spans="1:21" x14ac:dyDescent="0.2">
      <c r="A419" s="7"/>
      <c r="B419" s="9"/>
      <c r="C419" s="9"/>
      <c r="D419" s="9"/>
      <c r="E419" s="9"/>
      <c r="F419" s="9"/>
      <c r="G419" s="9"/>
      <c r="H419" s="9"/>
      <c r="I419" s="9"/>
      <c r="J419" s="9"/>
      <c r="K419" s="9"/>
      <c r="L419" s="9"/>
      <c r="M419" s="9"/>
      <c r="N419" s="9"/>
      <c r="O419" s="9"/>
      <c r="P419" s="7"/>
      <c r="Q419" s="9"/>
      <c r="R419" s="9"/>
      <c r="S419" s="14"/>
      <c r="T419" s="9"/>
      <c r="U419" s="14"/>
    </row>
    <row r="420" spans="1:21" x14ac:dyDescent="0.2">
      <c r="A420" s="7"/>
      <c r="B420" s="9"/>
      <c r="C420" s="9"/>
      <c r="D420" s="9"/>
      <c r="E420" s="9"/>
      <c r="F420" s="9"/>
      <c r="G420" s="9"/>
      <c r="H420" s="9"/>
      <c r="I420" s="9"/>
      <c r="J420" s="9"/>
      <c r="K420" s="9"/>
      <c r="L420" s="9"/>
      <c r="M420" s="9"/>
      <c r="N420" s="9"/>
      <c r="O420" s="9"/>
      <c r="P420" s="7"/>
      <c r="Q420" s="9"/>
      <c r="R420" s="9"/>
      <c r="S420" s="14"/>
      <c r="T420" s="9"/>
      <c r="U420" s="14"/>
    </row>
    <row r="421" spans="1:21" x14ac:dyDescent="0.2">
      <c r="A421" s="7"/>
      <c r="B421" s="9"/>
      <c r="C421" s="9"/>
      <c r="D421" s="9"/>
      <c r="E421" s="9"/>
      <c r="F421" s="9"/>
      <c r="G421" s="9"/>
      <c r="H421" s="9"/>
      <c r="I421" s="9"/>
      <c r="J421" s="9"/>
      <c r="K421" s="9"/>
      <c r="L421" s="9"/>
      <c r="M421" s="9"/>
      <c r="N421" s="9"/>
      <c r="O421" s="9"/>
      <c r="P421" s="7"/>
      <c r="Q421" s="9"/>
      <c r="R421" s="9"/>
      <c r="S421" s="14"/>
      <c r="T421" s="9"/>
      <c r="U421" s="14"/>
    </row>
    <row r="422" spans="1:21" x14ac:dyDescent="0.2">
      <c r="A422" s="7"/>
      <c r="B422" s="9"/>
      <c r="C422" s="9"/>
      <c r="D422" s="9"/>
      <c r="E422" s="9"/>
      <c r="F422" s="9"/>
      <c r="G422" s="9"/>
      <c r="H422" s="9"/>
      <c r="I422" s="9"/>
      <c r="J422" s="9"/>
      <c r="K422" s="9"/>
      <c r="L422" s="9"/>
      <c r="M422" s="9"/>
      <c r="N422" s="9"/>
      <c r="O422" s="9"/>
      <c r="P422" s="7"/>
      <c r="Q422" s="9"/>
      <c r="R422" s="9"/>
      <c r="S422" s="14"/>
      <c r="T422" s="9"/>
      <c r="U422" s="14"/>
    </row>
  </sheetData>
  <phoneticPr fontId="5" type="noConversion"/>
  <pageMargins left="0.25" right="0.25" top="0.75" bottom="0.75" header="0.3" footer="0.3"/>
  <pageSetup paperSize="8" fitToWidth="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1:Q116"/>
  <sheetViews>
    <sheetView zoomScaleNormal="100" workbookViewId="0">
      <pane ySplit="1" topLeftCell="A2" activePane="bottomLeft" state="frozen"/>
      <selection pane="bottomLeft" activeCell="A108" sqref="A108"/>
    </sheetView>
  </sheetViews>
  <sheetFormatPr defaultColWidth="9.140625" defaultRowHeight="12" outlineLevelCol="1" x14ac:dyDescent="0.2"/>
  <cols>
    <col min="1" max="1" width="57.42578125" style="1" customWidth="1"/>
    <col min="2" max="2" width="6.28515625" style="2" customWidth="1" outlineLevel="1"/>
    <col min="3" max="3" width="10.5703125" style="1" customWidth="1" outlineLevel="1"/>
    <col min="4" max="4" width="7.28515625" style="1" customWidth="1" outlineLevel="1"/>
    <col min="5" max="5" width="7.140625" style="1" customWidth="1" outlineLevel="1"/>
    <col min="6" max="6" width="9.7109375" style="1" customWidth="1" outlineLevel="1"/>
    <col min="7" max="7" width="8" style="1" customWidth="1" outlineLevel="1"/>
    <col min="8" max="8" width="8.5703125" style="1" customWidth="1" outlineLevel="1"/>
    <col min="9" max="9" width="11.140625" style="1" customWidth="1" outlineLevel="1"/>
    <col min="10" max="10" width="16" style="1" customWidth="1" outlineLevel="1"/>
    <col min="11" max="11" width="22.5703125" style="1" customWidth="1" outlineLevel="1"/>
    <col min="12" max="13" width="14.5703125" style="1" customWidth="1" outlineLevel="1"/>
    <col min="14" max="14" width="75.85546875" style="1" customWidth="1"/>
    <col min="15" max="15" width="18.5703125" style="1" customWidth="1"/>
    <col min="16" max="16" width="12.5703125" style="1" customWidth="1"/>
    <col min="17" max="17" width="12.5703125" style="31" customWidth="1"/>
    <col min="18" max="16384" width="9.140625" style="1"/>
  </cols>
  <sheetData>
    <row r="1" spans="1:17" x14ac:dyDescent="0.2">
      <c r="A1" s="4" t="s">
        <v>1</v>
      </c>
      <c r="B1" s="5" t="s">
        <v>2</v>
      </c>
      <c r="C1" s="6" t="s">
        <v>20</v>
      </c>
      <c r="D1" s="6" t="s">
        <v>0</v>
      </c>
      <c r="E1" s="6" t="s">
        <v>451</v>
      </c>
      <c r="F1" s="6" t="s">
        <v>539</v>
      </c>
      <c r="G1" s="6" t="s">
        <v>540</v>
      </c>
      <c r="H1" s="6" t="s">
        <v>541</v>
      </c>
      <c r="I1" s="6" t="s">
        <v>625</v>
      </c>
      <c r="J1" s="6" t="s">
        <v>626</v>
      </c>
      <c r="K1" s="6" t="s">
        <v>339</v>
      </c>
      <c r="L1" s="6" t="s">
        <v>576</v>
      </c>
      <c r="M1" s="6" t="s">
        <v>627</v>
      </c>
      <c r="N1" s="19" t="s">
        <v>8</v>
      </c>
      <c r="O1" s="6" t="s">
        <v>443</v>
      </c>
      <c r="P1" s="6" t="s">
        <v>628</v>
      </c>
      <c r="Q1" s="6" t="s">
        <v>826</v>
      </c>
    </row>
    <row r="2" spans="1:17" x14ac:dyDescent="0.2">
      <c r="A2" s="7" t="s">
        <v>66</v>
      </c>
      <c r="B2" s="8" t="s">
        <v>50</v>
      </c>
      <c r="C2" s="9" t="s">
        <v>23</v>
      </c>
      <c r="D2" s="9" t="s">
        <v>4</v>
      </c>
      <c r="E2" s="32">
        <v>10</v>
      </c>
      <c r="F2" s="9" t="s">
        <v>67</v>
      </c>
      <c r="G2" s="14">
        <f>YEAR(F2)</f>
        <v>2016</v>
      </c>
      <c r="H2" s="14">
        <f>MONTH(F2)</f>
        <v>5</v>
      </c>
      <c r="I2" s="11" t="s">
        <v>50</v>
      </c>
      <c r="J2" s="11" t="s">
        <v>153</v>
      </c>
      <c r="K2" s="11" t="s">
        <v>50</v>
      </c>
      <c r="L2" s="8">
        <v>1</v>
      </c>
      <c r="M2" s="11" t="s">
        <v>50</v>
      </c>
      <c r="N2" s="7" t="s">
        <v>69</v>
      </c>
      <c r="O2" s="9" t="s">
        <v>438</v>
      </c>
      <c r="P2" s="9"/>
      <c r="Q2" s="14">
        <f>LEN(N2)</f>
        <v>22</v>
      </c>
    </row>
    <row r="3" spans="1:17" x14ac:dyDescent="0.2">
      <c r="A3" s="12" t="s">
        <v>65</v>
      </c>
      <c r="B3" s="10">
        <v>2014</v>
      </c>
      <c r="C3" s="9" t="s">
        <v>23</v>
      </c>
      <c r="D3" s="9" t="s">
        <v>4</v>
      </c>
      <c r="E3" s="32">
        <v>10</v>
      </c>
      <c r="F3" s="9" t="s">
        <v>67</v>
      </c>
      <c r="G3" s="14">
        <f t="shared" ref="G3:G36" si="0">YEAR(F3)</f>
        <v>2016</v>
      </c>
      <c r="H3" s="14">
        <f t="shared" ref="H3:H36" si="1">MONTH(F3)</f>
        <v>5</v>
      </c>
      <c r="I3" s="11" t="s">
        <v>50</v>
      </c>
      <c r="J3" s="11" t="s">
        <v>153</v>
      </c>
      <c r="K3" s="11" t="s">
        <v>50</v>
      </c>
      <c r="L3" s="8">
        <v>1</v>
      </c>
      <c r="M3" s="11" t="s">
        <v>50</v>
      </c>
      <c r="N3" s="7" t="s">
        <v>68</v>
      </c>
      <c r="O3" s="9" t="s">
        <v>439</v>
      </c>
      <c r="P3" s="9"/>
      <c r="Q3" s="14">
        <f t="shared" ref="Q3:Q36" si="2">LEN(N3)</f>
        <v>16</v>
      </c>
    </row>
    <row r="4" spans="1:17" x14ac:dyDescent="0.2">
      <c r="A4" s="7" t="s">
        <v>28</v>
      </c>
      <c r="B4" s="10">
        <v>2014</v>
      </c>
      <c r="C4" s="9" t="s">
        <v>23</v>
      </c>
      <c r="D4" s="9" t="s">
        <v>24</v>
      </c>
      <c r="E4" s="10">
        <v>9</v>
      </c>
      <c r="F4" s="9" t="s">
        <v>29</v>
      </c>
      <c r="G4" s="14">
        <f t="shared" si="0"/>
        <v>2016</v>
      </c>
      <c r="H4" s="14">
        <f t="shared" si="1"/>
        <v>6</v>
      </c>
      <c r="I4" s="11" t="s">
        <v>50</v>
      </c>
      <c r="J4" s="11" t="s">
        <v>153</v>
      </c>
      <c r="K4" s="11" t="s">
        <v>50</v>
      </c>
      <c r="L4" s="8">
        <v>2</v>
      </c>
      <c r="M4" s="11" t="s">
        <v>50</v>
      </c>
      <c r="N4" s="7" t="s">
        <v>9</v>
      </c>
      <c r="O4" s="9" t="s">
        <v>446</v>
      </c>
      <c r="P4" s="9"/>
      <c r="Q4" s="14">
        <f t="shared" si="2"/>
        <v>18</v>
      </c>
    </row>
    <row r="5" spans="1:17" x14ac:dyDescent="0.2">
      <c r="A5" s="7" t="s">
        <v>30</v>
      </c>
      <c r="B5" s="10">
        <v>2015</v>
      </c>
      <c r="C5" s="9" t="s">
        <v>23</v>
      </c>
      <c r="D5" s="9" t="s">
        <v>24</v>
      </c>
      <c r="E5" s="10">
        <v>3</v>
      </c>
      <c r="F5" s="9" t="s">
        <v>29</v>
      </c>
      <c r="G5" s="14">
        <f t="shared" si="0"/>
        <v>2016</v>
      </c>
      <c r="H5" s="14">
        <f t="shared" si="1"/>
        <v>6</v>
      </c>
      <c r="I5" s="11" t="s">
        <v>50</v>
      </c>
      <c r="J5" s="11" t="s">
        <v>153</v>
      </c>
      <c r="K5" s="11" t="s">
        <v>50</v>
      </c>
      <c r="L5" s="8">
        <v>2</v>
      </c>
      <c r="M5" s="11" t="s">
        <v>50</v>
      </c>
      <c r="N5" s="7" t="s">
        <v>9</v>
      </c>
      <c r="O5" s="9" t="s">
        <v>446</v>
      </c>
      <c r="P5" s="9"/>
      <c r="Q5" s="14">
        <f t="shared" si="2"/>
        <v>18</v>
      </c>
    </row>
    <row r="6" spans="1:17" x14ac:dyDescent="0.2">
      <c r="A6" s="7" t="s">
        <v>31</v>
      </c>
      <c r="B6" s="10">
        <v>2014</v>
      </c>
      <c r="C6" s="9" t="s">
        <v>23</v>
      </c>
      <c r="D6" s="9" t="s">
        <v>24</v>
      </c>
      <c r="E6" s="10">
        <v>5</v>
      </c>
      <c r="F6" s="9" t="s">
        <v>29</v>
      </c>
      <c r="G6" s="14">
        <f t="shared" si="0"/>
        <v>2016</v>
      </c>
      <c r="H6" s="14">
        <f t="shared" si="1"/>
        <v>6</v>
      </c>
      <c r="I6" s="11" t="s">
        <v>50</v>
      </c>
      <c r="J6" s="11" t="s">
        <v>153</v>
      </c>
      <c r="K6" s="11" t="s">
        <v>50</v>
      </c>
      <c r="L6" s="8">
        <v>2</v>
      </c>
      <c r="M6" s="11" t="s">
        <v>50</v>
      </c>
      <c r="N6" s="7" t="s">
        <v>9</v>
      </c>
      <c r="O6" s="9" t="s">
        <v>446</v>
      </c>
      <c r="P6" s="9"/>
      <c r="Q6" s="14">
        <f t="shared" si="2"/>
        <v>18</v>
      </c>
    </row>
    <row r="7" spans="1:17" x14ac:dyDescent="0.2">
      <c r="A7" s="7" t="s">
        <v>32</v>
      </c>
      <c r="B7" s="10">
        <v>2014</v>
      </c>
      <c r="C7" s="9" t="s">
        <v>23</v>
      </c>
      <c r="D7" s="9" t="s">
        <v>24</v>
      </c>
      <c r="E7" s="10">
        <v>4</v>
      </c>
      <c r="F7" s="9" t="s">
        <v>29</v>
      </c>
      <c r="G7" s="14">
        <f t="shared" si="0"/>
        <v>2016</v>
      </c>
      <c r="H7" s="14">
        <f t="shared" si="1"/>
        <v>6</v>
      </c>
      <c r="I7" s="11" t="s">
        <v>50</v>
      </c>
      <c r="J7" s="11" t="s">
        <v>153</v>
      </c>
      <c r="K7" s="11" t="s">
        <v>50</v>
      </c>
      <c r="L7" s="8">
        <v>2</v>
      </c>
      <c r="M7" s="11" t="s">
        <v>50</v>
      </c>
      <c r="N7" s="7" t="s">
        <v>9</v>
      </c>
      <c r="O7" s="9" t="s">
        <v>446</v>
      </c>
      <c r="P7" s="9"/>
      <c r="Q7" s="14">
        <f t="shared" si="2"/>
        <v>18</v>
      </c>
    </row>
    <row r="8" spans="1:17" x14ac:dyDescent="0.2">
      <c r="A8" s="7" t="s">
        <v>25</v>
      </c>
      <c r="B8" s="10">
        <v>2013</v>
      </c>
      <c r="C8" s="9" t="s">
        <v>23</v>
      </c>
      <c r="D8" s="9" t="s">
        <v>24</v>
      </c>
      <c r="E8" s="10">
        <v>6</v>
      </c>
      <c r="F8" s="9" t="s">
        <v>26</v>
      </c>
      <c r="G8" s="14">
        <f t="shared" si="0"/>
        <v>2016</v>
      </c>
      <c r="H8" s="14">
        <f t="shared" si="1"/>
        <v>7</v>
      </c>
      <c r="I8" s="11" t="s">
        <v>50</v>
      </c>
      <c r="J8" s="11" t="s">
        <v>153</v>
      </c>
      <c r="K8" s="11" t="s">
        <v>50</v>
      </c>
      <c r="L8" s="8">
        <v>4</v>
      </c>
      <c r="M8" s="11" t="s">
        <v>50</v>
      </c>
      <c r="N8" s="7" t="s">
        <v>27</v>
      </c>
      <c r="O8" s="9" t="s">
        <v>446</v>
      </c>
      <c r="P8" s="9"/>
      <c r="Q8" s="14">
        <f t="shared" si="2"/>
        <v>48</v>
      </c>
    </row>
    <row r="9" spans="1:17" x14ac:dyDescent="0.2">
      <c r="A9" s="7" t="s">
        <v>35</v>
      </c>
      <c r="B9" s="10">
        <v>2013</v>
      </c>
      <c r="C9" s="9" t="s">
        <v>23</v>
      </c>
      <c r="D9" s="9" t="s">
        <v>24</v>
      </c>
      <c r="E9" s="10">
        <v>4</v>
      </c>
      <c r="F9" s="9" t="s">
        <v>34</v>
      </c>
      <c r="G9" s="14">
        <f t="shared" si="0"/>
        <v>2016</v>
      </c>
      <c r="H9" s="14">
        <f t="shared" si="1"/>
        <v>7</v>
      </c>
      <c r="I9" s="11" t="s">
        <v>50</v>
      </c>
      <c r="J9" s="11" t="s">
        <v>153</v>
      </c>
      <c r="K9" s="11" t="s">
        <v>50</v>
      </c>
      <c r="L9" s="8">
        <v>2</v>
      </c>
      <c r="M9" s="11" t="s">
        <v>50</v>
      </c>
      <c r="N9" s="7" t="s">
        <v>36</v>
      </c>
      <c r="O9" s="9" t="s">
        <v>441</v>
      </c>
      <c r="P9" s="9"/>
      <c r="Q9" s="14">
        <f t="shared" si="2"/>
        <v>35</v>
      </c>
    </row>
    <row r="10" spans="1:17" x14ac:dyDescent="0.2">
      <c r="A10" s="7" t="s">
        <v>37</v>
      </c>
      <c r="B10" s="10">
        <v>2009</v>
      </c>
      <c r="C10" s="9" t="s">
        <v>23</v>
      </c>
      <c r="D10" s="9" t="s">
        <v>24</v>
      </c>
      <c r="E10" s="10">
        <v>2</v>
      </c>
      <c r="F10" s="9" t="s">
        <v>34</v>
      </c>
      <c r="G10" s="14">
        <f t="shared" si="0"/>
        <v>2016</v>
      </c>
      <c r="H10" s="14">
        <f t="shared" si="1"/>
        <v>7</v>
      </c>
      <c r="I10" s="11" t="s">
        <v>50</v>
      </c>
      <c r="J10" s="11" t="s">
        <v>153</v>
      </c>
      <c r="K10" s="11" t="s">
        <v>50</v>
      </c>
      <c r="L10" s="8">
        <v>3</v>
      </c>
      <c r="M10" s="11" t="s">
        <v>50</v>
      </c>
      <c r="N10" s="7" t="s">
        <v>38</v>
      </c>
      <c r="O10" s="9" t="s">
        <v>441</v>
      </c>
      <c r="P10" s="9"/>
      <c r="Q10" s="14">
        <f t="shared" si="2"/>
        <v>18</v>
      </c>
    </row>
    <row r="11" spans="1:17" x14ac:dyDescent="0.2">
      <c r="A11" s="7" t="s">
        <v>39</v>
      </c>
      <c r="B11" s="10">
        <v>2013</v>
      </c>
      <c r="C11" s="9" t="s">
        <v>23</v>
      </c>
      <c r="D11" s="9" t="s">
        <v>24</v>
      </c>
      <c r="E11" s="10">
        <v>12</v>
      </c>
      <c r="F11" s="9" t="s">
        <v>34</v>
      </c>
      <c r="G11" s="14">
        <f t="shared" si="0"/>
        <v>2016</v>
      </c>
      <c r="H11" s="14">
        <f t="shared" si="1"/>
        <v>7</v>
      </c>
      <c r="I11" s="11" t="s">
        <v>50</v>
      </c>
      <c r="J11" s="11" t="s">
        <v>153</v>
      </c>
      <c r="K11" s="11" t="s">
        <v>50</v>
      </c>
      <c r="L11" s="8">
        <v>1</v>
      </c>
      <c r="M11" s="11" t="s">
        <v>50</v>
      </c>
      <c r="N11" s="7" t="s">
        <v>40</v>
      </c>
      <c r="O11" s="9" t="s">
        <v>441</v>
      </c>
      <c r="P11" s="9"/>
      <c r="Q11" s="14">
        <f t="shared" si="2"/>
        <v>11</v>
      </c>
    </row>
    <row r="12" spans="1:17" x14ac:dyDescent="0.2">
      <c r="A12" s="7" t="s">
        <v>41</v>
      </c>
      <c r="B12" s="10">
        <v>2013</v>
      </c>
      <c r="C12" s="9" t="s">
        <v>23</v>
      </c>
      <c r="D12" s="9" t="s">
        <v>24</v>
      </c>
      <c r="E12" s="10">
        <v>10</v>
      </c>
      <c r="F12" s="9" t="s">
        <v>34</v>
      </c>
      <c r="G12" s="14">
        <f t="shared" si="0"/>
        <v>2016</v>
      </c>
      <c r="H12" s="14">
        <f t="shared" si="1"/>
        <v>7</v>
      </c>
      <c r="I12" s="11" t="s">
        <v>50</v>
      </c>
      <c r="J12" s="11" t="s">
        <v>153</v>
      </c>
      <c r="K12" s="11" t="s">
        <v>50</v>
      </c>
      <c r="L12" s="8">
        <v>2</v>
      </c>
      <c r="M12" s="11" t="s">
        <v>50</v>
      </c>
      <c r="N12" s="7" t="s">
        <v>42</v>
      </c>
      <c r="O12" s="9" t="s">
        <v>441</v>
      </c>
      <c r="P12" s="9"/>
      <c r="Q12" s="14">
        <f t="shared" si="2"/>
        <v>25</v>
      </c>
    </row>
    <row r="13" spans="1:17" x14ac:dyDescent="0.2">
      <c r="A13" s="7" t="s">
        <v>43</v>
      </c>
      <c r="B13" s="10">
        <v>2011</v>
      </c>
      <c r="C13" s="9" t="s">
        <v>23</v>
      </c>
      <c r="D13" s="9" t="s">
        <v>24</v>
      </c>
      <c r="E13" s="10">
        <v>14</v>
      </c>
      <c r="F13" s="9" t="s">
        <v>44</v>
      </c>
      <c r="G13" s="14">
        <f t="shared" si="0"/>
        <v>2016</v>
      </c>
      <c r="H13" s="14">
        <f t="shared" si="1"/>
        <v>7</v>
      </c>
      <c r="I13" s="11" t="s">
        <v>50</v>
      </c>
      <c r="J13" s="11" t="s">
        <v>153</v>
      </c>
      <c r="K13" s="11" t="s">
        <v>50</v>
      </c>
      <c r="L13" s="8">
        <v>4</v>
      </c>
      <c r="M13" s="11" t="s">
        <v>50</v>
      </c>
      <c r="N13" s="7" t="s">
        <v>45</v>
      </c>
      <c r="O13" s="9" t="s">
        <v>441</v>
      </c>
      <c r="P13" s="9"/>
      <c r="Q13" s="14">
        <f t="shared" si="2"/>
        <v>42</v>
      </c>
    </row>
    <row r="14" spans="1:17" x14ac:dyDescent="0.2">
      <c r="A14" s="7" t="s">
        <v>46</v>
      </c>
      <c r="B14" s="10">
        <v>2015</v>
      </c>
      <c r="C14" s="9" t="s">
        <v>23</v>
      </c>
      <c r="D14" s="9" t="s">
        <v>24</v>
      </c>
      <c r="E14" s="10">
        <v>4</v>
      </c>
      <c r="F14" s="9" t="s">
        <v>44</v>
      </c>
      <c r="G14" s="14">
        <f t="shared" si="0"/>
        <v>2016</v>
      </c>
      <c r="H14" s="14">
        <f t="shared" si="1"/>
        <v>7</v>
      </c>
      <c r="I14" s="11" t="s">
        <v>50</v>
      </c>
      <c r="J14" s="11" t="s">
        <v>153</v>
      </c>
      <c r="K14" s="11" t="s">
        <v>50</v>
      </c>
      <c r="L14" s="8">
        <v>2</v>
      </c>
      <c r="M14" s="11" t="s">
        <v>50</v>
      </c>
      <c r="N14" s="7" t="s">
        <v>9</v>
      </c>
      <c r="O14" s="9" t="s">
        <v>441</v>
      </c>
      <c r="P14" s="9"/>
      <c r="Q14" s="14">
        <f t="shared" si="2"/>
        <v>18</v>
      </c>
    </row>
    <row r="15" spans="1:17" x14ac:dyDescent="0.2">
      <c r="A15" s="7" t="s">
        <v>47</v>
      </c>
      <c r="B15" s="10">
        <v>2015</v>
      </c>
      <c r="C15" s="9" t="s">
        <v>23</v>
      </c>
      <c r="D15" s="9" t="s">
        <v>24</v>
      </c>
      <c r="E15" s="10">
        <v>5</v>
      </c>
      <c r="F15" s="9" t="s">
        <v>44</v>
      </c>
      <c r="G15" s="14">
        <f t="shared" si="0"/>
        <v>2016</v>
      </c>
      <c r="H15" s="14">
        <f t="shared" si="1"/>
        <v>7</v>
      </c>
      <c r="I15" s="11" t="s">
        <v>50</v>
      </c>
      <c r="J15" s="11" t="s">
        <v>153</v>
      </c>
      <c r="K15" s="11" t="s">
        <v>50</v>
      </c>
      <c r="L15" s="8">
        <v>2</v>
      </c>
      <c r="M15" s="11" t="s">
        <v>50</v>
      </c>
      <c r="N15" s="7" t="s">
        <v>9</v>
      </c>
      <c r="O15" s="9" t="s">
        <v>441</v>
      </c>
      <c r="P15" s="9"/>
      <c r="Q15" s="14">
        <f t="shared" si="2"/>
        <v>18</v>
      </c>
    </row>
    <row r="16" spans="1:17" x14ac:dyDescent="0.2">
      <c r="A16" s="7" t="s">
        <v>48</v>
      </c>
      <c r="B16" s="10">
        <v>2004</v>
      </c>
      <c r="C16" s="9" t="s">
        <v>23</v>
      </c>
      <c r="D16" s="9" t="s">
        <v>24</v>
      </c>
      <c r="E16" s="10">
        <v>7</v>
      </c>
      <c r="F16" s="9" t="s">
        <v>44</v>
      </c>
      <c r="G16" s="14">
        <f t="shared" si="0"/>
        <v>2016</v>
      </c>
      <c r="H16" s="14">
        <f t="shared" si="1"/>
        <v>7</v>
      </c>
      <c r="I16" s="11" t="s">
        <v>50</v>
      </c>
      <c r="J16" s="11" t="s">
        <v>153</v>
      </c>
      <c r="K16" s="11" t="s">
        <v>50</v>
      </c>
      <c r="L16" s="8">
        <v>2</v>
      </c>
      <c r="M16" s="11" t="s">
        <v>50</v>
      </c>
      <c r="N16" s="7" t="s">
        <v>9</v>
      </c>
      <c r="O16" s="9" t="s">
        <v>441</v>
      </c>
      <c r="P16" s="9"/>
      <c r="Q16" s="14">
        <f t="shared" si="2"/>
        <v>18</v>
      </c>
    </row>
    <row r="17" spans="1:17" x14ac:dyDescent="0.2">
      <c r="A17" s="7" t="s">
        <v>49</v>
      </c>
      <c r="B17" s="8" t="s">
        <v>50</v>
      </c>
      <c r="C17" s="9" t="s">
        <v>23</v>
      </c>
      <c r="D17" s="9" t="s">
        <v>24</v>
      </c>
      <c r="E17" s="10">
        <v>4</v>
      </c>
      <c r="F17" s="9" t="s">
        <v>44</v>
      </c>
      <c r="G17" s="14">
        <f t="shared" si="0"/>
        <v>2016</v>
      </c>
      <c r="H17" s="14">
        <f t="shared" si="1"/>
        <v>7</v>
      </c>
      <c r="I17" s="11" t="s">
        <v>50</v>
      </c>
      <c r="J17" s="11" t="s">
        <v>153</v>
      </c>
      <c r="K17" s="11" t="s">
        <v>50</v>
      </c>
      <c r="L17" s="8">
        <v>2</v>
      </c>
      <c r="M17" s="11" t="s">
        <v>50</v>
      </c>
      <c r="N17" s="7" t="s">
        <v>9</v>
      </c>
      <c r="O17" s="9" t="s">
        <v>441</v>
      </c>
      <c r="P17" s="9"/>
      <c r="Q17" s="14">
        <f t="shared" si="2"/>
        <v>18</v>
      </c>
    </row>
    <row r="18" spans="1:17" x14ac:dyDescent="0.2">
      <c r="A18" s="7" t="s">
        <v>25</v>
      </c>
      <c r="B18" s="8">
        <v>2012</v>
      </c>
      <c r="C18" s="9" t="s">
        <v>23</v>
      </c>
      <c r="D18" s="9" t="s">
        <v>24</v>
      </c>
      <c r="E18" s="10">
        <v>8</v>
      </c>
      <c r="F18" s="9" t="s">
        <v>57</v>
      </c>
      <c r="G18" s="14">
        <f t="shared" si="0"/>
        <v>2016</v>
      </c>
      <c r="H18" s="14">
        <f t="shared" si="1"/>
        <v>7</v>
      </c>
      <c r="I18" s="11" t="s">
        <v>50</v>
      </c>
      <c r="J18" s="11" t="s">
        <v>153</v>
      </c>
      <c r="K18" s="11" t="s">
        <v>50</v>
      </c>
      <c r="L18" s="8">
        <v>3</v>
      </c>
      <c r="M18" s="11" t="s">
        <v>50</v>
      </c>
      <c r="N18" s="7" t="s">
        <v>58</v>
      </c>
      <c r="O18" s="9" t="s">
        <v>446</v>
      </c>
      <c r="P18" s="9"/>
      <c r="Q18" s="14">
        <f t="shared" si="2"/>
        <v>7</v>
      </c>
    </row>
    <row r="19" spans="1:17" x14ac:dyDescent="0.2">
      <c r="A19" s="7" t="s">
        <v>59</v>
      </c>
      <c r="B19" s="8">
        <v>2012</v>
      </c>
      <c r="C19" s="9" t="s">
        <v>23</v>
      </c>
      <c r="D19" s="9" t="s">
        <v>24</v>
      </c>
      <c r="E19" s="10">
        <v>6</v>
      </c>
      <c r="F19" s="9" t="s">
        <v>57</v>
      </c>
      <c r="G19" s="14">
        <f t="shared" si="0"/>
        <v>2016</v>
      </c>
      <c r="H19" s="14">
        <f t="shared" si="1"/>
        <v>7</v>
      </c>
      <c r="I19" s="11" t="s">
        <v>50</v>
      </c>
      <c r="J19" s="11" t="s">
        <v>153</v>
      </c>
      <c r="K19" s="11" t="s">
        <v>50</v>
      </c>
      <c r="L19" s="8">
        <v>1</v>
      </c>
      <c r="M19" s="11" t="s">
        <v>50</v>
      </c>
      <c r="N19" s="7" t="s">
        <v>60</v>
      </c>
      <c r="O19" s="9" t="s">
        <v>446</v>
      </c>
      <c r="P19" s="9"/>
      <c r="Q19" s="14">
        <f t="shared" si="2"/>
        <v>8</v>
      </c>
    </row>
    <row r="20" spans="1:17" x14ac:dyDescent="0.2">
      <c r="A20" s="7" t="s">
        <v>51</v>
      </c>
      <c r="B20" s="10" t="s">
        <v>50</v>
      </c>
      <c r="C20" s="9" t="s">
        <v>23</v>
      </c>
      <c r="D20" s="9" t="s">
        <v>24</v>
      </c>
      <c r="E20" s="10">
        <v>16</v>
      </c>
      <c r="F20" s="9" t="s">
        <v>52</v>
      </c>
      <c r="G20" s="14">
        <f t="shared" si="0"/>
        <v>2016</v>
      </c>
      <c r="H20" s="14">
        <f t="shared" si="1"/>
        <v>7</v>
      </c>
      <c r="I20" s="11" t="s">
        <v>50</v>
      </c>
      <c r="J20" s="11" t="s">
        <v>153</v>
      </c>
      <c r="K20" s="11" t="s">
        <v>50</v>
      </c>
      <c r="L20" s="8">
        <v>3</v>
      </c>
      <c r="M20" s="11" t="s">
        <v>50</v>
      </c>
      <c r="N20" s="7" t="s">
        <v>53</v>
      </c>
      <c r="O20" s="9" t="s">
        <v>441</v>
      </c>
      <c r="P20" s="9"/>
      <c r="Q20" s="14">
        <f t="shared" si="2"/>
        <v>37</v>
      </c>
    </row>
    <row r="21" spans="1:17" x14ac:dyDescent="0.2">
      <c r="A21" s="7" t="s">
        <v>55</v>
      </c>
      <c r="B21" s="10" t="s">
        <v>50</v>
      </c>
      <c r="C21" s="9" t="s">
        <v>23</v>
      </c>
      <c r="D21" s="9" t="s">
        <v>24</v>
      </c>
      <c r="E21" s="10">
        <v>2</v>
      </c>
      <c r="F21" s="9" t="s">
        <v>52</v>
      </c>
      <c r="G21" s="14">
        <f t="shared" si="0"/>
        <v>2016</v>
      </c>
      <c r="H21" s="14">
        <f t="shared" si="1"/>
        <v>7</v>
      </c>
      <c r="I21" s="11" t="s">
        <v>50</v>
      </c>
      <c r="J21" s="11" t="s">
        <v>153</v>
      </c>
      <c r="K21" s="11" t="s">
        <v>50</v>
      </c>
      <c r="L21" s="8">
        <v>3</v>
      </c>
      <c r="M21" s="11" t="s">
        <v>50</v>
      </c>
      <c r="N21" s="7" t="s">
        <v>54</v>
      </c>
      <c r="O21" s="9" t="s">
        <v>441</v>
      </c>
      <c r="P21" s="9"/>
      <c r="Q21" s="14">
        <f t="shared" si="2"/>
        <v>8</v>
      </c>
    </row>
    <row r="22" spans="1:17" x14ac:dyDescent="0.2">
      <c r="A22" s="7" t="s">
        <v>56</v>
      </c>
      <c r="B22" s="10" t="s">
        <v>50</v>
      </c>
      <c r="C22" s="9" t="s">
        <v>23</v>
      </c>
      <c r="D22" s="9" t="s">
        <v>24</v>
      </c>
      <c r="E22" s="10">
        <v>3</v>
      </c>
      <c r="F22" s="9" t="s">
        <v>52</v>
      </c>
      <c r="G22" s="14">
        <f t="shared" si="0"/>
        <v>2016</v>
      </c>
      <c r="H22" s="14">
        <f t="shared" si="1"/>
        <v>7</v>
      </c>
      <c r="I22" s="11" t="s">
        <v>50</v>
      </c>
      <c r="J22" s="11" t="s">
        <v>153</v>
      </c>
      <c r="K22" s="11" t="s">
        <v>50</v>
      </c>
      <c r="L22" s="8">
        <v>3</v>
      </c>
      <c r="M22" s="11" t="s">
        <v>50</v>
      </c>
      <c r="N22" s="7" t="s">
        <v>54</v>
      </c>
      <c r="O22" s="9" t="s">
        <v>441</v>
      </c>
      <c r="P22" s="9"/>
      <c r="Q22" s="14">
        <f t="shared" si="2"/>
        <v>8</v>
      </c>
    </row>
    <row r="23" spans="1:17" x14ac:dyDescent="0.2">
      <c r="A23" s="7" t="s">
        <v>76</v>
      </c>
      <c r="B23" s="10">
        <v>2013</v>
      </c>
      <c r="C23" s="9" t="s">
        <v>23</v>
      </c>
      <c r="D23" s="9" t="s">
        <v>24</v>
      </c>
      <c r="E23" s="10">
        <v>10</v>
      </c>
      <c r="F23" s="9" t="s">
        <v>78</v>
      </c>
      <c r="G23" s="14">
        <f t="shared" si="0"/>
        <v>2016</v>
      </c>
      <c r="H23" s="14">
        <f t="shared" si="1"/>
        <v>9</v>
      </c>
      <c r="I23" s="11" t="s">
        <v>50</v>
      </c>
      <c r="J23" s="11" t="s">
        <v>153</v>
      </c>
      <c r="K23" s="11" t="s">
        <v>50</v>
      </c>
      <c r="L23" s="8">
        <v>1</v>
      </c>
      <c r="M23" s="11" t="s">
        <v>50</v>
      </c>
      <c r="N23" s="7" t="s">
        <v>50</v>
      </c>
      <c r="O23" s="9" t="s">
        <v>446</v>
      </c>
      <c r="P23" s="9"/>
      <c r="Q23" s="14">
        <f t="shared" si="2"/>
        <v>1</v>
      </c>
    </row>
    <row r="24" spans="1:17" x14ac:dyDescent="0.2">
      <c r="A24" s="7" t="s">
        <v>77</v>
      </c>
      <c r="B24" s="10">
        <v>2013</v>
      </c>
      <c r="C24" s="9" t="s">
        <v>23</v>
      </c>
      <c r="D24" s="9" t="s">
        <v>24</v>
      </c>
      <c r="E24" s="10">
        <v>6</v>
      </c>
      <c r="F24" s="9" t="s">
        <v>78</v>
      </c>
      <c r="G24" s="14">
        <f t="shared" si="0"/>
        <v>2016</v>
      </c>
      <c r="H24" s="14">
        <f t="shared" si="1"/>
        <v>9</v>
      </c>
      <c r="I24" s="11" t="s">
        <v>50</v>
      </c>
      <c r="J24" s="11" t="s">
        <v>153</v>
      </c>
      <c r="K24" s="11" t="s">
        <v>50</v>
      </c>
      <c r="L24" s="8">
        <v>1</v>
      </c>
      <c r="M24" s="11" t="s">
        <v>50</v>
      </c>
      <c r="N24" s="7" t="s">
        <v>50</v>
      </c>
      <c r="O24" s="9" t="s">
        <v>446</v>
      </c>
      <c r="P24" s="9"/>
      <c r="Q24" s="14">
        <f t="shared" si="2"/>
        <v>1</v>
      </c>
    </row>
    <row r="25" spans="1:17" x14ac:dyDescent="0.2">
      <c r="A25" s="7" t="s">
        <v>79</v>
      </c>
      <c r="B25" s="10">
        <v>2011</v>
      </c>
      <c r="C25" s="9" t="s">
        <v>23</v>
      </c>
      <c r="D25" s="9" t="s">
        <v>24</v>
      </c>
      <c r="E25" s="10">
        <v>4</v>
      </c>
      <c r="F25" s="9" t="s">
        <v>78</v>
      </c>
      <c r="G25" s="14">
        <f t="shared" si="0"/>
        <v>2016</v>
      </c>
      <c r="H25" s="14">
        <f t="shared" si="1"/>
        <v>9</v>
      </c>
      <c r="I25" s="11" t="s">
        <v>50</v>
      </c>
      <c r="J25" s="11" t="s">
        <v>153</v>
      </c>
      <c r="K25" s="11" t="s">
        <v>50</v>
      </c>
      <c r="L25" s="8">
        <v>1</v>
      </c>
      <c r="M25" s="11" t="s">
        <v>50</v>
      </c>
      <c r="N25" s="13" t="s">
        <v>50</v>
      </c>
      <c r="O25" s="9" t="s">
        <v>441</v>
      </c>
      <c r="P25" s="9"/>
      <c r="Q25" s="14">
        <f t="shared" si="2"/>
        <v>1</v>
      </c>
    </row>
    <row r="26" spans="1:17" x14ac:dyDescent="0.2">
      <c r="A26" s="7" t="s">
        <v>81</v>
      </c>
      <c r="B26" s="8" t="s">
        <v>50</v>
      </c>
      <c r="C26" s="9" t="s">
        <v>23</v>
      </c>
      <c r="D26" s="9" t="s">
        <v>24</v>
      </c>
      <c r="E26" s="10">
        <v>14</v>
      </c>
      <c r="F26" s="9" t="s">
        <v>78</v>
      </c>
      <c r="G26" s="14">
        <f t="shared" si="0"/>
        <v>2016</v>
      </c>
      <c r="H26" s="14">
        <f t="shared" si="1"/>
        <v>9</v>
      </c>
      <c r="I26" s="11" t="s">
        <v>50</v>
      </c>
      <c r="J26" s="11" t="s">
        <v>153</v>
      </c>
      <c r="K26" s="11" t="s">
        <v>50</v>
      </c>
      <c r="L26" s="8">
        <v>2</v>
      </c>
      <c r="M26" s="11" t="s">
        <v>50</v>
      </c>
      <c r="N26" s="7" t="s">
        <v>80</v>
      </c>
      <c r="O26" s="9" t="s">
        <v>441</v>
      </c>
      <c r="P26" s="9"/>
      <c r="Q26" s="14">
        <f t="shared" si="2"/>
        <v>26</v>
      </c>
    </row>
    <row r="27" spans="1:17" x14ac:dyDescent="0.2">
      <c r="A27" s="7" t="s">
        <v>84</v>
      </c>
      <c r="B27" s="10">
        <v>2016</v>
      </c>
      <c r="C27" s="9" t="s">
        <v>23</v>
      </c>
      <c r="D27" s="9" t="s">
        <v>24</v>
      </c>
      <c r="E27" s="10">
        <v>5</v>
      </c>
      <c r="F27" s="9" t="s">
        <v>83</v>
      </c>
      <c r="G27" s="14">
        <f t="shared" si="0"/>
        <v>2016</v>
      </c>
      <c r="H27" s="14">
        <f t="shared" si="1"/>
        <v>9</v>
      </c>
      <c r="I27" s="11" t="s">
        <v>50</v>
      </c>
      <c r="J27" s="11" t="s">
        <v>153</v>
      </c>
      <c r="K27" s="11" t="s">
        <v>50</v>
      </c>
      <c r="L27" s="8">
        <v>2</v>
      </c>
      <c r="M27" s="11" t="s">
        <v>50</v>
      </c>
      <c r="N27" s="13" t="s">
        <v>50</v>
      </c>
      <c r="O27" s="9" t="s">
        <v>442</v>
      </c>
      <c r="P27" s="9"/>
      <c r="Q27" s="14">
        <f t="shared" si="2"/>
        <v>1</v>
      </c>
    </row>
    <row r="28" spans="1:17" x14ac:dyDescent="0.2">
      <c r="A28" s="7" t="s">
        <v>88</v>
      </c>
      <c r="B28" s="10">
        <v>2002</v>
      </c>
      <c r="C28" s="9" t="s">
        <v>23</v>
      </c>
      <c r="D28" s="9" t="s">
        <v>4</v>
      </c>
      <c r="E28" s="10">
        <v>18</v>
      </c>
      <c r="F28" s="9" t="s">
        <v>87</v>
      </c>
      <c r="G28" s="14">
        <f t="shared" si="0"/>
        <v>2016</v>
      </c>
      <c r="H28" s="14">
        <f t="shared" si="1"/>
        <v>9</v>
      </c>
      <c r="I28" s="11" t="s">
        <v>50</v>
      </c>
      <c r="J28" s="11" t="s">
        <v>153</v>
      </c>
      <c r="K28" s="11" t="s">
        <v>50</v>
      </c>
      <c r="L28" s="8">
        <v>1</v>
      </c>
      <c r="M28" s="11" t="s">
        <v>50</v>
      </c>
      <c r="N28" s="7" t="s">
        <v>60</v>
      </c>
      <c r="O28" s="9" t="s">
        <v>442</v>
      </c>
      <c r="P28" s="9"/>
      <c r="Q28" s="14">
        <f t="shared" si="2"/>
        <v>8</v>
      </c>
    </row>
    <row r="29" spans="1:17" x14ac:dyDescent="0.2">
      <c r="A29" s="7" t="s">
        <v>90</v>
      </c>
      <c r="B29" s="8" t="s">
        <v>50</v>
      </c>
      <c r="C29" s="9" t="s">
        <v>23</v>
      </c>
      <c r="D29" s="9" t="s">
        <v>24</v>
      </c>
      <c r="E29" s="10">
        <v>58</v>
      </c>
      <c r="F29" s="9" t="s">
        <v>91</v>
      </c>
      <c r="G29" s="14">
        <f t="shared" si="0"/>
        <v>2016</v>
      </c>
      <c r="H29" s="14">
        <f t="shared" si="1"/>
        <v>10</v>
      </c>
      <c r="I29" s="11" t="s">
        <v>50</v>
      </c>
      <c r="J29" s="11" t="s">
        <v>153</v>
      </c>
      <c r="K29" s="11" t="s">
        <v>50</v>
      </c>
      <c r="L29" s="8">
        <v>4</v>
      </c>
      <c r="M29" s="11" t="s">
        <v>50</v>
      </c>
      <c r="N29" s="7" t="s">
        <v>92</v>
      </c>
      <c r="O29" s="9" t="s">
        <v>441</v>
      </c>
      <c r="P29" s="9"/>
      <c r="Q29" s="14">
        <f t="shared" si="2"/>
        <v>13</v>
      </c>
    </row>
    <row r="30" spans="1:17" x14ac:dyDescent="0.2">
      <c r="A30" s="7" t="s">
        <v>93</v>
      </c>
      <c r="B30" s="10">
        <v>2004</v>
      </c>
      <c r="C30" s="9" t="s">
        <v>23</v>
      </c>
      <c r="D30" s="9" t="s">
        <v>24</v>
      </c>
      <c r="E30" s="10">
        <v>13</v>
      </c>
      <c r="F30" s="9" t="s">
        <v>94</v>
      </c>
      <c r="G30" s="14">
        <f t="shared" si="0"/>
        <v>2016</v>
      </c>
      <c r="H30" s="14">
        <f t="shared" si="1"/>
        <v>10</v>
      </c>
      <c r="I30" s="11" t="s">
        <v>50</v>
      </c>
      <c r="J30" s="11" t="s">
        <v>153</v>
      </c>
      <c r="K30" s="11" t="s">
        <v>50</v>
      </c>
      <c r="L30" s="8">
        <v>1</v>
      </c>
      <c r="M30" s="11" t="s">
        <v>50</v>
      </c>
      <c r="N30" s="7" t="s">
        <v>68</v>
      </c>
      <c r="O30" s="9" t="s">
        <v>442</v>
      </c>
      <c r="P30" s="9"/>
      <c r="Q30" s="14">
        <f t="shared" si="2"/>
        <v>16</v>
      </c>
    </row>
    <row r="31" spans="1:17" x14ac:dyDescent="0.2">
      <c r="A31" s="7" t="s">
        <v>95</v>
      </c>
      <c r="B31" s="10">
        <v>2006</v>
      </c>
      <c r="C31" s="9" t="s">
        <v>23</v>
      </c>
      <c r="D31" s="9" t="s">
        <v>24</v>
      </c>
      <c r="E31" s="10">
        <v>26</v>
      </c>
      <c r="F31" s="9" t="s">
        <v>94</v>
      </c>
      <c r="G31" s="14">
        <f t="shared" si="0"/>
        <v>2016</v>
      </c>
      <c r="H31" s="14">
        <f t="shared" si="1"/>
        <v>10</v>
      </c>
      <c r="I31" s="11" t="s">
        <v>50</v>
      </c>
      <c r="J31" s="11" t="s">
        <v>153</v>
      </c>
      <c r="K31" s="11" t="s">
        <v>50</v>
      </c>
      <c r="L31" s="8">
        <v>1</v>
      </c>
      <c r="M31" s="11" t="s">
        <v>50</v>
      </c>
      <c r="N31" s="7" t="s">
        <v>96</v>
      </c>
      <c r="O31" s="9" t="s">
        <v>442</v>
      </c>
      <c r="P31" s="9"/>
      <c r="Q31" s="14">
        <f t="shared" si="2"/>
        <v>13</v>
      </c>
    </row>
    <row r="32" spans="1:17" x14ac:dyDescent="0.2">
      <c r="A32" s="7" t="s">
        <v>111</v>
      </c>
      <c r="B32" s="10">
        <v>2015</v>
      </c>
      <c r="C32" s="9" t="s">
        <v>23</v>
      </c>
      <c r="D32" s="9" t="s">
        <v>24</v>
      </c>
      <c r="E32" s="10">
        <v>26</v>
      </c>
      <c r="F32" s="9" t="s">
        <v>110</v>
      </c>
      <c r="G32" s="14">
        <f t="shared" si="0"/>
        <v>2016</v>
      </c>
      <c r="H32" s="14">
        <f t="shared" si="1"/>
        <v>11</v>
      </c>
      <c r="I32" s="11" t="s">
        <v>50</v>
      </c>
      <c r="J32" s="11" t="s">
        <v>153</v>
      </c>
      <c r="K32" s="11" t="s">
        <v>50</v>
      </c>
      <c r="L32" s="8">
        <v>2</v>
      </c>
      <c r="M32" s="11" t="s">
        <v>50</v>
      </c>
      <c r="N32" s="13" t="s">
        <v>50</v>
      </c>
      <c r="O32" s="9" t="s">
        <v>449</v>
      </c>
      <c r="P32" s="9"/>
      <c r="Q32" s="14">
        <f t="shared" si="2"/>
        <v>1</v>
      </c>
    </row>
    <row r="33" spans="1:17" x14ac:dyDescent="0.2">
      <c r="A33" s="7" t="s">
        <v>117</v>
      </c>
      <c r="B33" s="10">
        <v>2013</v>
      </c>
      <c r="C33" s="9" t="s">
        <v>23</v>
      </c>
      <c r="D33" s="9" t="s">
        <v>24</v>
      </c>
      <c r="E33" s="10">
        <v>16</v>
      </c>
      <c r="F33" s="9" t="s">
        <v>113</v>
      </c>
      <c r="G33" s="14">
        <f t="shared" si="0"/>
        <v>2016</v>
      </c>
      <c r="H33" s="14">
        <f t="shared" si="1"/>
        <v>11</v>
      </c>
      <c r="I33" s="11" t="s">
        <v>50</v>
      </c>
      <c r="J33" s="11" t="s">
        <v>153</v>
      </c>
      <c r="K33" s="11" t="s">
        <v>50</v>
      </c>
      <c r="L33" s="8">
        <v>2</v>
      </c>
      <c r="M33" s="11" t="s">
        <v>50</v>
      </c>
      <c r="N33" s="13" t="s">
        <v>50</v>
      </c>
      <c r="O33" s="9" t="s">
        <v>440</v>
      </c>
      <c r="P33" s="9"/>
      <c r="Q33" s="14">
        <f t="shared" si="2"/>
        <v>1</v>
      </c>
    </row>
    <row r="34" spans="1:17" x14ac:dyDescent="0.2">
      <c r="A34" s="7" t="s">
        <v>112</v>
      </c>
      <c r="B34" s="8" t="s">
        <v>50</v>
      </c>
      <c r="C34" s="9" t="s">
        <v>23</v>
      </c>
      <c r="D34" s="9" t="s">
        <v>24</v>
      </c>
      <c r="E34" s="10">
        <v>56</v>
      </c>
      <c r="F34" s="9" t="s">
        <v>113</v>
      </c>
      <c r="G34" s="14">
        <f t="shared" si="0"/>
        <v>2016</v>
      </c>
      <c r="H34" s="14">
        <f t="shared" si="1"/>
        <v>11</v>
      </c>
      <c r="I34" s="11" t="s">
        <v>50</v>
      </c>
      <c r="J34" s="11" t="s">
        <v>153</v>
      </c>
      <c r="K34" s="11" t="s">
        <v>50</v>
      </c>
      <c r="L34" s="8">
        <v>2</v>
      </c>
      <c r="M34" s="11" t="s">
        <v>50</v>
      </c>
      <c r="N34" s="13" t="s">
        <v>50</v>
      </c>
      <c r="O34" s="9" t="s">
        <v>448</v>
      </c>
      <c r="P34" s="9"/>
      <c r="Q34" s="14">
        <f t="shared" si="2"/>
        <v>1</v>
      </c>
    </row>
    <row r="35" spans="1:17" x14ac:dyDescent="0.2">
      <c r="A35" s="7" t="s">
        <v>114</v>
      </c>
      <c r="B35" s="8" t="s">
        <v>50</v>
      </c>
      <c r="C35" s="9" t="s">
        <v>23</v>
      </c>
      <c r="D35" s="9" t="s">
        <v>24</v>
      </c>
      <c r="E35" s="10">
        <v>10</v>
      </c>
      <c r="F35" s="9" t="s">
        <v>113</v>
      </c>
      <c r="G35" s="14">
        <f t="shared" si="0"/>
        <v>2016</v>
      </c>
      <c r="H35" s="14">
        <f t="shared" si="1"/>
        <v>11</v>
      </c>
      <c r="I35" s="11" t="s">
        <v>50</v>
      </c>
      <c r="J35" s="11" t="s">
        <v>153</v>
      </c>
      <c r="K35" s="11" t="s">
        <v>50</v>
      </c>
      <c r="L35" s="8">
        <v>2</v>
      </c>
      <c r="M35" s="11" t="s">
        <v>50</v>
      </c>
      <c r="N35" s="13" t="s">
        <v>50</v>
      </c>
      <c r="O35" s="9" t="s">
        <v>448</v>
      </c>
      <c r="P35" s="9"/>
      <c r="Q35" s="14">
        <f t="shared" si="2"/>
        <v>1</v>
      </c>
    </row>
    <row r="36" spans="1:17" x14ac:dyDescent="0.2">
      <c r="A36" s="7" t="s">
        <v>337</v>
      </c>
      <c r="B36" s="8" t="s">
        <v>50</v>
      </c>
      <c r="C36" s="9" t="s">
        <v>23</v>
      </c>
      <c r="D36" s="9" t="s">
        <v>24</v>
      </c>
      <c r="E36" s="10">
        <v>11</v>
      </c>
      <c r="F36" s="9" t="s">
        <v>113</v>
      </c>
      <c r="G36" s="14">
        <f t="shared" si="0"/>
        <v>2016</v>
      </c>
      <c r="H36" s="14">
        <f t="shared" si="1"/>
        <v>11</v>
      </c>
      <c r="I36" s="11" t="s">
        <v>50</v>
      </c>
      <c r="J36" s="11" t="s">
        <v>153</v>
      </c>
      <c r="K36" s="11" t="s">
        <v>50</v>
      </c>
      <c r="L36" s="8">
        <v>2</v>
      </c>
      <c r="M36" s="11" t="s">
        <v>50</v>
      </c>
      <c r="N36" s="13" t="s">
        <v>50</v>
      </c>
      <c r="O36" s="9" t="s">
        <v>445</v>
      </c>
      <c r="P36" s="9"/>
      <c r="Q36" s="14">
        <f t="shared" si="2"/>
        <v>1</v>
      </c>
    </row>
    <row r="37" spans="1:17" x14ac:dyDescent="0.2">
      <c r="A37" s="7" t="s">
        <v>133</v>
      </c>
      <c r="B37" s="10">
        <v>2016</v>
      </c>
      <c r="C37" s="9" t="s">
        <v>23</v>
      </c>
      <c r="D37" s="9" t="s">
        <v>24</v>
      </c>
      <c r="E37" s="10">
        <v>46</v>
      </c>
      <c r="F37" s="9" t="s">
        <v>134</v>
      </c>
      <c r="G37" s="14">
        <f t="shared" ref="G37:G49" si="3">YEAR(F37)</f>
        <v>2016</v>
      </c>
      <c r="H37" s="14">
        <f t="shared" ref="H37:H49" si="4">MONTH(F37)</f>
        <v>12</v>
      </c>
      <c r="I37" s="9" t="s">
        <v>153</v>
      </c>
      <c r="J37" s="11" t="s">
        <v>153</v>
      </c>
      <c r="K37" s="11" t="s">
        <v>50</v>
      </c>
      <c r="L37" s="10">
        <v>1</v>
      </c>
      <c r="M37" s="11" t="s">
        <v>50</v>
      </c>
      <c r="N37" s="13" t="s">
        <v>50</v>
      </c>
      <c r="O37" s="9" t="s">
        <v>444</v>
      </c>
      <c r="P37" s="9"/>
      <c r="Q37" s="14">
        <f t="shared" ref="Q37:Q47" si="5">LEN(N37)</f>
        <v>1</v>
      </c>
    </row>
    <row r="38" spans="1:17" x14ac:dyDescent="0.2">
      <c r="A38" s="7" t="s">
        <v>143</v>
      </c>
      <c r="B38" s="8" t="s">
        <v>50</v>
      </c>
      <c r="C38" s="9" t="s">
        <v>23</v>
      </c>
      <c r="D38" s="9" t="s">
        <v>24</v>
      </c>
      <c r="E38" s="10">
        <v>2</v>
      </c>
      <c r="F38" s="9" t="s">
        <v>144</v>
      </c>
      <c r="G38" s="14">
        <f t="shared" si="3"/>
        <v>2016</v>
      </c>
      <c r="H38" s="14">
        <f t="shared" si="4"/>
        <v>12</v>
      </c>
      <c r="I38" s="9" t="s">
        <v>153</v>
      </c>
      <c r="J38" s="11" t="s">
        <v>153</v>
      </c>
      <c r="K38" s="11" t="s">
        <v>50</v>
      </c>
      <c r="L38" s="10">
        <v>2</v>
      </c>
      <c r="M38" s="11" t="s">
        <v>50</v>
      </c>
      <c r="N38" s="13" t="s">
        <v>50</v>
      </c>
      <c r="O38" s="9" t="s">
        <v>442</v>
      </c>
      <c r="P38" s="9"/>
      <c r="Q38" s="14">
        <f t="shared" si="5"/>
        <v>1</v>
      </c>
    </row>
    <row r="39" spans="1:17" x14ac:dyDescent="0.2">
      <c r="A39" s="7" t="s">
        <v>450</v>
      </c>
      <c r="B39" s="8" t="s">
        <v>50</v>
      </c>
      <c r="C39" s="9" t="s">
        <v>23</v>
      </c>
      <c r="D39" s="9" t="s">
        <v>24</v>
      </c>
      <c r="E39" s="10">
        <v>26</v>
      </c>
      <c r="F39" s="9" t="s">
        <v>144</v>
      </c>
      <c r="G39" s="14">
        <f t="shared" si="3"/>
        <v>2016</v>
      </c>
      <c r="H39" s="14">
        <f t="shared" si="4"/>
        <v>12</v>
      </c>
      <c r="I39" s="9" t="s">
        <v>153</v>
      </c>
      <c r="J39" s="11" t="s">
        <v>153</v>
      </c>
      <c r="K39" s="11" t="s">
        <v>50</v>
      </c>
      <c r="L39" s="10">
        <v>2</v>
      </c>
      <c r="M39" s="11" t="s">
        <v>50</v>
      </c>
      <c r="N39" s="13" t="s">
        <v>50</v>
      </c>
      <c r="O39" s="9" t="s">
        <v>442</v>
      </c>
      <c r="P39" s="9"/>
      <c r="Q39" s="14">
        <f t="shared" si="5"/>
        <v>1</v>
      </c>
    </row>
    <row r="40" spans="1:17" x14ac:dyDescent="0.2">
      <c r="A40" s="7" t="s">
        <v>141</v>
      </c>
      <c r="B40" s="10">
        <v>2016</v>
      </c>
      <c r="C40" s="9" t="s">
        <v>23</v>
      </c>
      <c r="D40" s="9" t="s">
        <v>24</v>
      </c>
      <c r="E40" s="10">
        <v>52</v>
      </c>
      <c r="F40" s="9" t="s">
        <v>142</v>
      </c>
      <c r="G40" s="14">
        <f t="shared" si="3"/>
        <v>2016</v>
      </c>
      <c r="H40" s="14">
        <f t="shared" si="4"/>
        <v>12</v>
      </c>
      <c r="I40" s="9" t="s">
        <v>153</v>
      </c>
      <c r="J40" s="11" t="s">
        <v>153</v>
      </c>
      <c r="K40" s="11" t="s">
        <v>50</v>
      </c>
      <c r="L40" s="10">
        <v>2</v>
      </c>
      <c r="M40" s="11" t="s">
        <v>50</v>
      </c>
      <c r="N40" s="13" t="s">
        <v>50</v>
      </c>
      <c r="O40" s="9" t="s">
        <v>444</v>
      </c>
      <c r="P40" s="9"/>
      <c r="Q40" s="14">
        <f t="shared" si="5"/>
        <v>1</v>
      </c>
    </row>
    <row r="41" spans="1:17" x14ac:dyDescent="0.2">
      <c r="A41" s="7" t="s">
        <v>162</v>
      </c>
      <c r="B41" s="8" t="s">
        <v>50</v>
      </c>
      <c r="C41" s="9" t="s">
        <v>23</v>
      </c>
      <c r="D41" s="9" t="s">
        <v>4</v>
      </c>
      <c r="E41" s="10">
        <v>88</v>
      </c>
      <c r="F41" s="9" t="s">
        <v>160</v>
      </c>
      <c r="G41" s="14">
        <f t="shared" si="3"/>
        <v>2017</v>
      </c>
      <c r="H41" s="14">
        <f t="shared" si="4"/>
        <v>2</v>
      </c>
      <c r="I41" s="9" t="s">
        <v>153</v>
      </c>
      <c r="J41" s="9" t="s">
        <v>153</v>
      </c>
      <c r="K41" s="11" t="s">
        <v>50</v>
      </c>
      <c r="L41" s="10">
        <v>4</v>
      </c>
      <c r="M41" s="11" t="s">
        <v>50</v>
      </c>
      <c r="N41" s="7" t="s">
        <v>163</v>
      </c>
      <c r="O41" s="9" t="s">
        <v>442</v>
      </c>
      <c r="P41" s="9"/>
      <c r="Q41" s="14">
        <f t="shared" si="5"/>
        <v>83</v>
      </c>
    </row>
    <row r="42" spans="1:17" x14ac:dyDescent="0.2">
      <c r="A42" s="7" t="s">
        <v>169</v>
      </c>
      <c r="B42" s="8" t="s">
        <v>50</v>
      </c>
      <c r="C42" s="9" t="s">
        <v>23</v>
      </c>
      <c r="D42" s="9" t="s">
        <v>4</v>
      </c>
      <c r="E42" s="10">
        <v>47</v>
      </c>
      <c r="F42" s="9" t="s">
        <v>170</v>
      </c>
      <c r="G42" s="14">
        <f t="shared" si="3"/>
        <v>2017</v>
      </c>
      <c r="H42" s="14">
        <f t="shared" si="4"/>
        <v>3</v>
      </c>
      <c r="I42" s="9" t="s">
        <v>153</v>
      </c>
      <c r="J42" s="9" t="s">
        <v>153</v>
      </c>
      <c r="K42" s="11" t="s">
        <v>50</v>
      </c>
      <c r="L42" s="10">
        <v>2</v>
      </c>
      <c r="M42" s="11" t="s">
        <v>50</v>
      </c>
      <c r="N42" s="13" t="s">
        <v>50</v>
      </c>
      <c r="O42" s="9" t="s">
        <v>441</v>
      </c>
      <c r="P42" s="9"/>
      <c r="Q42" s="14">
        <f t="shared" si="5"/>
        <v>1</v>
      </c>
    </row>
    <row r="43" spans="1:17" x14ac:dyDescent="0.2">
      <c r="A43" s="7" t="s">
        <v>171</v>
      </c>
      <c r="B43" s="8" t="s">
        <v>50</v>
      </c>
      <c r="C43" s="9" t="s">
        <v>23</v>
      </c>
      <c r="D43" s="9" t="s">
        <v>4</v>
      </c>
      <c r="E43" s="10">
        <v>66</v>
      </c>
      <c r="F43" s="9" t="s">
        <v>170</v>
      </c>
      <c r="G43" s="14">
        <f t="shared" si="3"/>
        <v>2017</v>
      </c>
      <c r="H43" s="14">
        <f t="shared" si="4"/>
        <v>3</v>
      </c>
      <c r="I43" s="9" t="s">
        <v>153</v>
      </c>
      <c r="J43" s="9" t="s">
        <v>153</v>
      </c>
      <c r="K43" s="11" t="s">
        <v>50</v>
      </c>
      <c r="L43" s="10">
        <v>2</v>
      </c>
      <c r="M43" s="11" t="s">
        <v>50</v>
      </c>
      <c r="N43" s="13" t="s">
        <v>50</v>
      </c>
      <c r="O43" s="9" t="s">
        <v>441</v>
      </c>
      <c r="P43" s="9"/>
      <c r="Q43" s="14">
        <f t="shared" si="5"/>
        <v>1</v>
      </c>
    </row>
    <row r="44" spans="1:17" x14ac:dyDescent="0.2">
      <c r="A44" s="7" t="s">
        <v>172</v>
      </c>
      <c r="B44" s="8" t="s">
        <v>50</v>
      </c>
      <c r="C44" s="9" t="s">
        <v>23</v>
      </c>
      <c r="D44" s="9" t="s">
        <v>4</v>
      </c>
      <c r="E44" s="10">
        <v>99</v>
      </c>
      <c r="F44" s="9" t="s">
        <v>170</v>
      </c>
      <c r="G44" s="14">
        <f t="shared" si="3"/>
        <v>2017</v>
      </c>
      <c r="H44" s="14">
        <f t="shared" si="4"/>
        <v>3</v>
      </c>
      <c r="I44" s="9" t="s">
        <v>153</v>
      </c>
      <c r="J44" s="9" t="s">
        <v>153</v>
      </c>
      <c r="K44" s="11" t="s">
        <v>50</v>
      </c>
      <c r="L44" s="10">
        <v>2</v>
      </c>
      <c r="M44" s="11" t="s">
        <v>50</v>
      </c>
      <c r="N44" s="13" t="s">
        <v>50</v>
      </c>
      <c r="O44" s="9" t="s">
        <v>441</v>
      </c>
      <c r="P44" s="9"/>
      <c r="Q44" s="14">
        <f t="shared" si="5"/>
        <v>1</v>
      </c>
    </row>
    <row r="45" spans="1:17" x14ac:dyDescent="0.2">
      <c r="A45" s="7" t="s">
        <v>167</v>
      </c>
      <c r="B45" s="8" t="s">
        <v>50</v>
      </c>
      <c r="C45" s="9" t="s">
        <v>23</v>
      </c>
      <c r="D45" s="9" t="s">
        <v>4</v>
      </c>
      <c r="E45" s="10">
        <v>88</v>
      </c>
      <c r="F45" s="9" t="s">
        <v>166</v>
      </c>
      <c r="G45" s="14">
        <f t="shared" si="3"/>
        <v>2017</v>
      </c>
      <c r="H45" s="14">
        <f t="shared" si="4"/>
        <v>3</v>
      </c>
      <c r="I45" s="9" t="s">
        <v>153</v>
      </c>
      <c r="J45" s="9" t="s">
        <v>153</v>
      </c>
      <c r="K45" s="11" t="s">
        <v>50</v>
      </c>
      <c r="L45" s="10">
        <v>4</v>
      </c>
      <c r="M45" s="11" t="s">
        <v>50</v>
      </c>
      <c r="N45" s="13" t="s">
        <v>168</v>
      </c>
      <c r="O45" s="9" t="s">
        <v>441</v>
      </c>
      <c r="P45" s="9"/>
      <c r="Q45" s="14">
        <f t="shared" si="5"/>
        <v>61</v>
      </c>
    </row>
    <row r="46" spans="1:17" x14ac:dyDescent="0.2">
      <c r="A46" s="7" t="s">
        <v>193</v>
      </c>
      <c r="B46" s="8" t="s">
        <v>50</v>
      </c>
      <c r="C46" s="9" t="s">
        <v>23</v>
      </c>
      <c r="D46" s="9" t="s">
        <v>4</v>
      </c>
      <c r="E46" s="10">
        <v>71</v>
      </c>
      <c r="F46" s="9" t="s">
        <v>194</v>
      </c>
      <c r="G46" s="14">
        <f t="shared" si="3"/>
        <v>2017</v>
      </c>
      <c r="H46" s="14">
        <f t="shared" si="4"/>
        <v>3</v>
      </c>
      <c r="I46" s="9" t="s">
        <v>153</v>
      </c>
      <c r="J46" s="9" t="s">
        <v>153</v>
      </c>
      <c r="K46" s="11" t="s">
        <v>50</v>
      </c>
      <c r="L46" s="10">
        <v>2</v>
      </c>
      <c r="M46" s="11" t="s">
        <v>50</v>
      </c>
      <c r="N46" s="13" t="s">
        <v>50</v>
      </c>
      <c r="O46" s="9" t="s">
        <v>449</v>
      </c>
      <c r="P46" s="9"/>
      <c r="Q46" s="14">
        <f t="shared" si="5"/>
        <v>1</v>
      </c>
    </row>
    <row r="47" spans="1:17" x14ac:dyDescent="0.2">
      <c r="A47" s="7" t="s">
        <v>207</v>
      </c>
      <c r="B47" s="8" t="s">
        <v>50</v>
      </c>
      <c r="C47" s="9" t="s">
        <v>23</v>
      </c>
      <c r="D47" s="9" t="s">
        <v>24</v>
      </c>
      <c r="E47" s="10">
        <v>26</v>
      </c>
      <c r="F47" s="9" t="s">
        <v>208</v>
      </c>
      <c r="G47" s="14">
        <f t="shared" si="3"/>
        <v>2017</v>
      </c>
      <c r="H47" s="14">
        <f t="shared" si="4"/>
        <v>4</v>
      </c>
      <c r="I47" s="11" t="s">
        <v>50</v>
      </c>
      <c r="J47" s="9" t="s">
        <v>153</v>
      </c>
      <c r="K47" s="11" t="s">
        <v>50</v>
      </c>
      <c r="L47" s="8">
        <v>2</v>
      </c>
      <c r="M47" s="11" t="s">
        <v>50</v>
      </c>
      <c r="N47" s="13" t="s">
        <v>50</v>
      </c>
      <c r="O47" s="9" t="s">
        <v>449</v>
      </c>
      <c r="P47" s="9"/>
      <c r="Q47" s="14">
        <f t="shared" si="5"/>
        <v>1</v>
      </c>
    </row>
    <row r="48" spans="1:17" x14ac:dyDescent="0.2">
      <c r="A48" s="7" t="s">
        <v>209</v>
      </c>
      <c r="B48" s="8" t="s">
        <v>50</v>
      </c>
      <c r="C48" s="9" t="s">
        <v>23</v>
      </c>
      <c r="D48" s="9" t="s">
        <v>24</v>
      </c>
      <c r="E48" s="10">
        <v>40</v>
      </c>
      <c r="F48" s="9" t="s">
        <v>208</v>
      </c>
      <c r="G48" s="14">
        <f t="shared" si="3"/>
        <v>2017</v>
      </c>
      <c r="H48" s="14">
        <f t="shared" si="4"/>
        <v>4</v>
      </c>
      <c r="I48" s="11" t="s">
        <v>50</v>
      </c>
      <c r="J48" s="9" t="s">
        <v>153</v>
      </c>
      <c r="K48" s="11" t="s">
        <v>50</v>
      </c>
      <c r="L48" s="8">
        <v>2</v>
      </c>
      <c r="M48" s="11" t="s">
        <v>50</v>
      </c>
      <c r="N48" s="13" t="s">
        <v>50</v>
      </c>
      <c r="O48" s="9" t="s">
        <v>449</v>
      </c>
      <c r="P48" s="9"/>
      <c r="Q48" s="14">
        <f t="shared" ref="Q48:Q64" si="6">LEN(N48)</f>
        <v>1</v>
      </c>
    </row>
    <row r="49" spans="1:17" x14ac:dyDescent="0.2">
      <c r="A49" s="7" t="s">
        <v>210</v>
      </c>
      <c r="B49" s="8" t="s">
        <v>50</v>
      </c>
      <c r="C49" s="9" t="s">
        <v>23</v>
      </c>
      <c r="D49" s="9" t="s">
        <v>24</v>
      </c>
      <c r="E49" s="10">
        <v>26</v>
      </c>
      <c r="F49" s="9" t="s">
        <v>211</v>
      </c>
      <c r="G49" s="14">
        <f t="shared" si="3"/>
        <v>2017</v>
      </c>
      <c r="H49" s="14">
        <f t="shared" si="4"/>
        <v>4</v>
      </c>
      <c r="I49" s="11" t="s">
        <v>50</v>
      </c>
      <c r="J49" s="9" t="s">
        <v>153</v>
      </c>
      <c r="K49" s="11" t="s">
        <v>50</v>
      </c>
      <c r="L49" s="8">
        <v>2</v>
      </c>
      <c r="M49" s="11" t="s">
        <v>50</v>
      </c>
      <c r="N49" s="13" t="s">
        <v>50</v>
      </c>
      <c r="O49" s="9" t="s">
        <v>446</v>
      </c>
      <c r="P49" s="9"/>
      <c r="Q49" s="14">
        <f t="shared" si="6"/>
        <v>1</v>
      </c>
    </row>
    <row r="50" spans="1:17" x14ac:dyDescent="0.2">
      <c r="A50" s="7" t="s">
        <v>240</v>
      </c>
      <c r="B50" s="8" t="s">
        <v>50</v>
      </c>
      <c r="C50" s="9" t="s">
        <v>23</v>
      </c>
      <c r="D50" s="9" t="s">
        <v>24</v>
      </c>
      <c r="E50" s="10">
        <v>150</v>
      </c>
      <c r="F50" s="9" t="s">
        <v>241</v>
      </c>
      <c r="G50" s="14">
        <f t="shared" ref="G50:G64" si="7">YEAR(F50)</f>
        <v>2017</v>
      </c>
      <c r="H50" s="14">
        <f t="shared" ref="H50:H64" si="8">MONTH(F50)</f>
        <v>7</v>
      </c>
      <c r="I50" s="11" t="s">
        <v>50</v>
      </c>
      <c r="J50" s="9" t="s">
        <v>153</v>
      </c>
      <c r="K50" s="11" t="s">
        <v>50</v>
      </c>
      <c r="L50" s="8">
        <v>4</v>
      </c>
      <c r="M50" s="11" t="s">
        <v>50</v>
      </c>
      <c r="N50" s="7" t="s">
        <v>242</v>
      </c>
      <c r="O50" s="9" t="s">
        <v>440</v>
      </c>
      <c r="P50" s="9"/>
      <c r="Q50" s="14">
        <f t="shared" si="6"/>
        <v>80</v>
      </c>
    </row>
    <row r="51" spans="1:17" x14ac:dyDescent="0.2">
      <c r="A51" s="7" t="s">
        <v>254</v>
      </c>
      <c r="B51" s="8" t="s">
        <v>50</v>
      </c>
      <c r="C51" s="9" t="s">
        <v>23</v>
      </c>
      <c r="D51" s="9" t="s">
        <v>24</v>
      </c>
      <c r="E51" s="10">
        <v>80</v>
      </c>
      <c r="F51" s="9" t="s">
        <v>258</v>
      </c>
      <c r="G51" s="14">
        <f t="shared" si="7"/>
        <v>2017</v>
      </c>
      <c r="H51" s="14">
        <f t="shared" si="8"/>
        <v>9</v>
      </c>
      <c r="I51" s="11" t="s">
        <v>50</v>
      </c>
      <c r="J51" s="9" t="s">
        <v>153</v>
      </c>
      <c r="K51" s="11" t="s">
        <v>50</v>
      </c>
      <c r="L51" s="8">
        <v>3</v>
      </c>
      <c r="M51" s="11" t="s">
        <v>50</v>
      </c>
      <c r="N51" s="7" t="s">
        <v>72</v>
      </c>
      <c r="O51" s="9" t="s">
        <v>447</v>
      </c>
      <c r="P51" s="9"/>
      <c r="Q51" s="14">
        <f t="shared" si="6"/>
        <v>14</v>
      </c>
    </row>
    <row r="52" spans="1:17" x14ac:dyDescent="0.2">
      <c r="A52" s="7" t="s">
        <v>255</v>
      </c>
      <c r="B52" s="8" t="s">
        <v>50</v>
      </c>
      <c r="C52" s="9" t="s">
        <v>23</v>
      </c>
      <c r="D52" s="9" t="s">
        <v>24</v>
      </c>
      <c r="E52" s="10">
        <v>74</v>
      </c>
      <c r="F52" s="9" t="s">
        <v>260</v>
      </c>
      <c r="G52" s="14">
        <f t="shared" si="7"/>
        <v>2017</v>
      </c>
      <c r="H52" s="14">
        <f t="shared" si="8"/>
        <v>9</v>
      </c>
      <c r="I52" s="11" t="s">
        <v>50</v>
      </c>
      <c r="J52" s="9" t="s">
        <v>153</v>
      </c>
      <c r="K52" s="11" t="s">
        <v>50</v>
      </c>
      <c r="L52" s="8">
        <v>3</v>
      </c>
      <c r="M52" s="11" t="s">
        <v>50</v>
      </c>
      <c r="N52" s="7" t="s">
        <v>72</v>
      </c>
      <c r="O52" s="9" t="s">
        <v>453</v>
      </c>
      <c r="P52" s="9"/>
      <c r="Q52" s="14">
        <f t="shared" si="6"/>
        <v>14</v>
      </c>
    </row>
    <row r="53" spans="1:17" x14ac:dyDescent="0.2">
      <c r="A53" s="7" t="s">
        <v>256</v>
      </c>
      <c r="B53" s="8" t="s">
        <v>50</v>
      </c>
      <c r="C53" s="9" t="s">
        <v>23</v>
      </c>
      <c r="D53" s="9" t="s">
        <v>24</v>
      </c>
      <c r="E53" s="10">
        <v>48</v>
      </c>
      <c r="F53" s="9" t="s">
        <v>257</v>
      </c>
      <c r="G53" s="14">
        <f t="shared" si="7"/>
        <v>2017</v>
      </c>
      <c r="H53" s="14">
        <f t="shared" si="8"/>
        <v>10</v>
      </c>
      <c r="I53" s="11" t="s">
        <v>50</v>
      </c>
      <c r="J53" s="9" t="s">
        <v>153</v>
      </c>
      <c r="K53" s="11" t="s">
        <v>50</v>
      </c>
      <c r="L53" s="8">
        <v>1</v>
      </c>
      <c r="M53" s="11" t="s">
        <v>50</v>
      </c>
      <c r="N53" s="7" t="s">
        <v>259</v>
      </c>
      <c r="O53" s="9" t="s">
        <v>444</v>
      </c>
      <c r="P53" s="9"/>
      <c r="Q53" s="14">
        <f t="shared" si="6"/>
        <v>17</v>
      </c>
    </row>
    <row r="54" spans="1:17" x14ac:dyDescent="0.2">
      <c r="A54" s="7" t="s">
        <v>263</v>
      </c>
      <c r="B54" s="8" t="s">
        <v>50</v>
      </c>
      <c r="C54" s="9" t="s">
        <v>23</v>
      </c>
      <c r="D54" s="9" t="s">
        <v>24</v>
      </c>
      <c r="E54" s="10">
        <v>4</v>
      </c>
      <c r="F54" s="9" t="s">
        <v>264</v>
      </c>
      <c r="G54" s="14">
        <f t="shared" si="7"/>
        <v>2017</v>
      </c>
      <c r="H54" s="14">
        <f t="shared" si="8"/>
        <v>11</v>
      </c>
      <c r="I54" s="11" t="s">
        <v>50</v>
      </c>
      <c r="J54" s="9" t="s">
        <v>153</v>
      </c>
      <c r="K54" s="11" t="s">
        <v>50</v>
      </c>
      <c r="L54" s="8">
        <v>2</v>
      </c>
      <c r="M54" s="11" t="s">
        <v>50</v>
      </c>
      <c r="N54" s="13" t="s">
        <v>50</v>
      </c>
      <c r="O54" s="9" t="s">
        <v>441</v>
      </c>
      <c r="P54" s="9"/>
      <c r="Q54" s="14">
        <f t="shared" si="6"/>
        <v>1</v>
      </c>
    </row>
    <row r="55" spans="1:17" x14ac:dyDescent="0.2">
      <c r="A55" s="7" t="s">
        <v>272</v>
      </c>
      <c r="B55" s="8">
        <v>2017</v>
      </c>
      <c r="C55" s="9" t="s">
        <v>23</v>
      </c>
      <c r="D55" s="9" t="s">
        <v>24</v>
      </c>
      <c r="E55" s="10">
        <v>100</v>
      </c>
      <c r="F55" s="9" t="s">
        <v>273</v>
      </c>
      <c r="G55" s="14">
        <f t="shared" si="7"/>
        <v>2017</v>
      </c>
      <c r="H55" s="14">
        <f t="shared" si="8"/>
        <v>11</v>
      </c>
      <c r="I55" s="11" t="s">
        <v>50</v>
      </c>
      <c r="J55" s="9" t="s">
        <v>153</v>
      </c>
      <c r="K55" s="11" t="s">
        <v>50</v>
      </c>
      <c r="L55" s="8">
        <v>2</v>
      </c>
      <c r="M55" s="11" t="s">
        <v>50</v>
      </c>
      <c r="N55" s="13" t="s">
        <v>50</v>
      </c>
      <c r="O55" s="9" t="s">
        <v>449</v>
      </c>
      <c r="P55" s="9"/>
      <c r="Q55" s="14">
        <f t="shared" si="6"/>
        <v>1</v>
      </c>
    </row>
    <row r="56" spans="1:17" x14ac:dyDescent="0.2">
      <c r="A56" s="7" t="s">
        <v>265</v>
      </c>
      <c r="B56" s="8">
        <v>2017</v>
      </c>
      <c r="C56" s="9" t="s">
        <v>23</v>
      </c>
      <c r="D56" s="9" t="s">
        <v>24</v>
      </c>
      <c r="E56" s="10">
        <v>78</v>
      </c>
      <c r="F56" s="9" t="s">
        <v>266</v>
      </c>
      <c r="G56" s="14">
        <f t="shared" si="7"/>
        <v>2017</v>
      </c>
      <c r="H56" s="14">
        <f t="shared" si="8"/>
        <v>12</v>
      </c>
      <c r="I56" s="11" t="s">
        <v>50</v>
      </c>
      <c r="J56" s="9" t="s">
        <v>153</v>
      </c>
      <c r="K56" s="11" t="s">
        <v>50</v>
      </c>
      <c r="L56" s="8">
        <v>2</v>
      </c>
      <c r="M56" s="11" t="s">
        <v>50</v>
      </c>
      <c r="N56" s="13" t="s">
        <v>50</v>
      </c>
      <c r="O56" s="9" t="s">
        <v>449</v>
      </c>
      <c r="P56" s="9"/>
      <c r="Q56" s="14">
        <f t="shared" si="6"/>
        <v>1</v>
      </c>
    </row>
    <row r="57" spans="1:17" x14ac:dyDescent="0.2">
      <c r="A57" s="7" t="s">
        <v>267</v>
      </c>
      <c r="B57" s="8">
        <v>2017</v>
      </c>
      <c r="C57" s="9" t="s">
        <v>23</v>
      </c>
      <c r="D57" s="9" t="s">
        <v>24</v>
      </c>
      <c r="E57" s="10">
        <v>35</v>
      </c>
      <c r="F57" s="9" t="s">
        <v>268</v>
      </c>
      <c r="G57" s="14">
        <f t="shared" si="7"/>
        <v>2017</v>
      </c>
      <c r="H57" s="14">
        <f t="shared" si="8"/>
        <v>12</v>
      </c>
      <c r="I57" s="11" t="s">
        <v>50</v>
      </c>
      <c r="J57" s="9" t="s">
        <v>153</v>
      </c>
      <c r="K57" s="11" t="s">
        <v>50</v>
      </c>
      <c r="L57" s="8">
        <v>3</v>
      </c>
      <c r="M57" s="11" t="s">
        <v>50</v>
      </c>
      <c r="N57" s="7" t="s">
        <v>269</v>
      </c>
      <c r="O57" s="9" t="s">
        <v>447</v>
      </c>
      <c r="P57" s="9"/>
      <c r="Q57" s="14">
        <f t="shared" si="6"/>
        <v>32</v>
      </c>
    </row>
    <row r="58" spans="1:17" x14ac:dyDescent="0.2">
      <c r="A58" s="7" t="s">
        <v>270</v>
      </c>
      <c r="B58" s="8">
        <v>2017</v>
      </c>
      <c r="C58" s="9" t="s">
        <v>23</v>
      </c>
      <c r="D58" s="9" t="s">
        <v>24</v>
      </c>
      <c r="E58" s="10">
        <v>79</v>
      </c>
      <c r="F58" s="9" t="s">
        <v>271</v>
      </c>
      <c r="G58" s="14">
        <f t="shared" si="7"/>
        <v>2017</v>
      </c>
      <c r="H58" s="14">
        <f t="shared" si="8"/>
        <v>12</v>
      </c>
      <c r="I58" s="11" t="s">
        <v>50</v>
      </c>
      <c r="J58" s="9" t="s">
        <v>153</v>
      </c>
      <c r="K58" s="11" t="s">
        <v>50</v>
      </c>
      <c r="L58" s="8">
        <v>2</v>
      </c>
      <c r="M58" s="11" t="s">
        <v>50</v>
      </c>
      <c r="N58" s="13" t="s">
        <v>50</v>
      </c>
      <c r="O58" s="9" t="s">
        <v>454</v>
      </c>
      <c r="P58" s="9"/>
      <c r="Q58" s="14">
        <f t="shared" si="6"/>
        <v>1</v>
      </c>
    </row>
    <row r="59" spans="1:17" x14ac:dyDescent="0.2">
      <c r="A59" s="7" t="s">
        <v>274</v>
      </c>
      <c r="B59" s="8">
        <v>2018</v>
      </c>
      <c r="C59" s="9" t="s">
        <v>23</v>
      </c>
      <c r="D59" s="9" t="s">
        <v>24</v>
      </c>
      <c r="E59" s="10">
        <v>145</v>
      </c>
      <c r="F59" s="9" t="s">
        <v>275</v>
      </c>
      <c r="G59" s="14">
        <f t="shared" si="7"/>
        <v>2018</v>
      </c>
      <c r="H59" s="14">
        <f t="shared" si="8"/>
        <v>1</v>
      </c>
      <c r="I59" s="11" t="s">
        <v>50</v>
      </c>
      <c r="J59" s="9" t="s">
        <v>153</v>
      </c>
      <c r="K59" s="11" t="s">
        <v>50</v>
      </c>
      <c r="L59" s="8">
        <v>2</v>
      </c>
      <c r="M59" s="11" t="s">
        <v>50</v>
      </c>
      <c r="N59" s="13" t="s">
        <v>50</v>
      </c>
      <c r="O59" s="9" t="s">
        <v>449</v>
      </c>
      <c r="P59" s="9"/>
      <c r="Q59" s="14">
        <f t="shared" si="6"/>
        <v>1</v>
      </c>
    </row>
    <row r="60" spans="1:17" x14ac:dyDescent="0.2">
      <c r="A60" s="7" t="s">
        <v>276</v>
      </c>
      <c r="B60" s="8">
        <v>2018</v>
      </c>
      <c r="C60" s="9" t="s">
        <v>23</v>
      </c>
      <c r="D60" s="9" t="s">
        <v>24</v>
      </c>
      <c r="E60" s="10">
        <v>58</v>
      </c>
      <c r="F60" s="9" t="s">
        <v>277</v>
      </c>
      <c r="G60" s="14">
        <f t="shared" si="7"/>
        <v>2018</v>
      </c>
      <c r="H60" s="14">
        <f t="shared" si="8"/>
        <v>2</v>
      </c>
      <c r="I60" s="11" t="s">
        <v>50</v>
      </c>
      <c r="J60" s="9" t="s">
        <v>153</v>
      </c>
      <c r="K60" s="11" t="s">
        <v>50</v>
      </c>
      <c r="L60" s="8">
        <v>3</v>
      </c>
      <c r="M60" s="11" t="s">
        <v>50</v>
      </c>
      <c r="N60" s="13" t="s">
        <v>278</v>
      </c>
      <c r="O60" s="9" t="s">
        <v>449</v>
      </c>
      <c r="P60" s="9"/>
      <c r="Q60" s="14">
        <f t="shared" si="6"/>
        <v>65</v>
      </c>
    </row>
    <row r="61" spans="1:17" x14ac:dyDescent="0.2">
      <c r="A61" s="7" t="s">
        <v>279</v>
      </c>
      <c r="B61" s="8">
        <v>2018</v>
      </c>
      <c r="C61" s="9" t="s">
        <v>23</v>
      </c>
      <c r="D61" s="9" t="s">
        <v>24</v>
      </c>
      <c r="E61" s="10">
        <v>80</v>
      </c>
      <c r="F61" s="9" t="s">
        <v>280</v>
      </c>
      <c r="G61" s="14">
        <f t="shared" si="7"/>
        <v>2018</v>
      </c>
      <c r="H61" s="14">
        <f t="shared" si="8"/>
        <v>3</v>
      </c>
      <c r="I61" s="11" t="s">
        <v>50</v>
      </c>
      <c r="J61" s="9" t="s">
        <v>153</v>
      </c>
      <c r="K61" s="11" t="s">
        <v>50</v>
      </c>
      <c r="L61" s="8">
        <v>3</v>
      </c>
      <c r="M61" s="11" t="s">
        <v>50</v>
      </c>
      <c r="N61" s="7" t="s">
        <v>281</v>
      </c>
      <c r="O61" s="9" t="s">
        <v>449</v>
      </c>
      <c r="P61" s="9"/>
      <c r="Q61" s="14">
        <f t="shared" si="6"/>
        <v>37</v>
      </c>
    </row>
    <row r="62" spans="1:17" x14ac:dyDescent="0.2">
      <c r="A62" s="7" t="s">
        <v>302</v>
      </c>
      <c r="B62" s="8" t="s">
        <v>50</v>
      </c>
      <c r="C62" s="9" t="s">
        <v>23</v>
      </c>
      <c r="D62" s="9" t="s">
        <v>24</v>
      </c>
      <c r="E62" s="10">
        <v>9</v>
      </c>
      <c r="F62" s="9" t="s">
        <v>303</v>
      </c>
      <c r="G62" s="14">
        <f t="shared" si="7"/>
        <v>2018</v>
      </c>
      <c r="H62" s="14">
        <f t="shared" si="8"/>
        <v>5</v>
      </c>
      <c r="I62" s="11" t="s">
        <v>50</v>
      </c>
      <c r="J62" s="11" t="s">
        <v>153</v>
      </c>
      <c r="K62" s="11" t="s">
        <v>50</v>
      </c>
      <c r="L62" s="8">
        <v>1</v>
      </c>
      <c r="M62" s="11" t="s">
        <v>50</v>
      </c>
      <c r="N62" s="7" t="s">
        <v>288</v>
      </c>
      <c r="O62" s="9" t="s">
        <v>441</v>
      </c>
      <c r="P62" s="9"/>
      <c r="Q62" s="14">
        <f t="shared" si="6"/>
        <v>16</v>
      </c>
    </row>
    <row r="63" spans="1:17" x14ac:dyDescent="0.2">
      <c r="A63" s="7" t="s">
        <v>304</v>
      </c>
      <c r="B63" s="8" t="s">
        <v>50</v>
      </c>
      <c r="C63" s="9" t="s">
        <v>23</v>
      </c>
      <c r="D63" s="9" t="s">
        <v>24</v>
      </c>
      <c r="E63" s="10">
        <v>94</v>
      </c>
      <c r="F63" s="9" t="s">
        <v>305</v>
      </c>
      <c r="G63" s="14">
        <f t="shared" si="7"/>
        <v>2018</v>
      </c>
      <c r="H63" s="14">
        <f t="shared" si="8"/>
        <v>8</v>
      </c>
      <c r="I63" s="11" t="s">
        <v>50</v>
      </c>
      <c r="J63" s="11" t="s">
        <v>153</v>
      </c>
      <c r="K63" s="11" t="s">
        <v>50</v>
      </c>
      <c r="L63" s="8">
        <v>2</v>
      </c>
      <c r="M63" s="11" t="s">
        <v>50</v>
      </c>
      <c r="N63" s="13" t="s">
        <v>50</v>
      </c>
      <c r="O63" s="9" t="s">
        <v>449</v>
      </c>
      <c r="P63" s="9"/>
      <c r="Q63" s="14">
        <f t="shared" si="6"/>
        <v>1</v>
      </c>
    </row>
    <row r="64" spans="1:17" x14ac:dyDescent="0.2">
      <c r="A64" s="7" t="s">
        <v>306</v>
      </c>
      <c r="B64" s="8" t="s">
        <v>50</v>
      </c>
      <c r="C64" s="9" t="s">
        <v>23</v>
      </c>
      <c r="D64" s="9" t="s">
        <v>24</v>
      </c>
      <c r="E64" s="10">
        <v>101</v>
      </c>
      <c r="F64" s="9" t="s">
        <v>307</v>
      </c>
      <c r="G64" s="14">
        <f t="shared" si="7"/>
        <v>2018</v>
      </c>
      <c r="H64" s="14">
        <f t="shared" si="8"/>
        <v>9</v>
      </c>
      <c r="I64" s="11" t="s">
        <v>50</v>
      </c>
      <c r="J64" s="11" t="s">
        <v>153</v>
      </c>
      <c r="K64" s="11" t="s">
        <v>50</v>
      </c>
      <c r="L64" s="8">
        <v>2</v>
      </c>
      <c r="M64" s="11" t="s">
        <v>50</v>
      </c>
      <c r="N64" s="13" t="s">
        <v>50</v>
      </c>
      <c r="O64" s="9" t="s">
        <v>449</v>
      </c>
      <c r="P64" s="9"/>
      <c r="Q64" s="14">
        <f t="shared" si="6"/>
        <v>1</v>
      </c>
    </row>
    <row r="65" spans="1:17" x14ac:dyDescent="0.2">
      <c r="A65" s="7" t="s">
        <v>471</v>
      </c>
      <c r="B65" s="10">
        <v>2017</v>
      </c>
      <c r="C65" s="9" t="s">
        <v>23</v>
      </c>
      <c r="D65" s="9" t="s">
        <v>4</v>
      </c>
      <c r="E65" s="10">
        <v>56</v>
      </c>
      <c r="F65" s="9" t="s">
        <v>473</v>
      </c>
      <c r="G65" s="9">
        <f t="shared" ref="G65" si="9">YEAR(F65)</f>
        <v>2019</v>
      </c>
      <c r="H65" s="9">
        <f t="shared" ref="H65" si="10">MONTH(F65)</f>
        <v>3</v>
      </c>
      <c r="I65" s="9" t="s">
        <v>153</v>
      </c>
      <c r="J65" s="9" t="s">
        <v>153</v>
      </c>
      <c r="K65" s="11" t="s">
        <v>50</v>
      </c>
      <c r="L65" s="10">
        <v>3</v>
      </c>
      <c r="M65" s="16">
        <v>0</v>
      </c>
      <c r="N65" s="7" t="s">
        <v>477</v>
      </c>
      <c r="O65" s="9" t="s">
        <v>447</v>
      </c>
      <c r="P65" s="9"/>
      <c r="Q65" s="14">
        <f t="shared" ref="Q65" si="11">LEN(N65)</f>
        <v>21</v>
      </c>
    </row>
    <row r="66" spans="1:17" x14ac:dyDescent="0.2">
      <c r="A66" s="7" t="s">
        <v>490</v>
      </c>
      <c r="B66" s="8" t="s">
        <v>50</v>
      </c>
      <c r="C66" s="9" t="s">
        <v>23</v>
      </c>
      <c r="D66" s="9" t="s">
        <v>4</v>
      </c>
      <c r="E66" s="14">
        <v>5</v>
      </c>
      <c r="F66" s="9" t="s">
        <v>496</v>
      </c>
      <c r="G66" s="9">
        <f t="shared" ref="G66:G92" si="12">YEAR(F66)</f>
        <v>2019</v>
      </c>
      <c r="H66" s="9">
        <f>MONTH(F66)</f>
        <v>10</v>
      </c>
      <c r="I66" s="11" t="s">
        <v>50</v>
      </c>
      <c r="J66" s="9" t="s">
        <v>153</v>
      </c>
      <c r="K66" s="11" t="s">
        <v>50</v>
      </c>
      <c r="L66" s="10">
        <v>1</v>
      </c>
      <c r="M66" s="16">
        <v>0</v>
      </c>
      <c r="N66" s="7" t="s">
        <v>497</v>
      </c>
      <c r="O66" s="9" t="s">
        <v>441</v>
      </c>
      <c r="P66" s="9"/>
      <c r="Q66" s="14">
        <f t="shared" ref="Q66:Q88" si="13">LEN(N66)</f>
        <v>32</v>
      </c>
    </row>
    <row r="67" spans="1:17" x14ac:dyDescent="0.2">
      <c r="A67" s="7" t="s">
        <v>491</v>
      </c>
      <c r="B67" s="8" t="s">
        <v>50</v>
      </c>
      <c r="C67" s="9" t="s">
        <v>23</v>
      </c>
      <c r="D67" s="9" t="s">
        <v>4</v>
      </c>
      <c r="E67" s="14">
        <v>10</v>
      </c>
      <c r="F67" s="9" t="s">
        <v>496</v>
      </c>
      <c r="G67" s="9">
        <f t="shared" si="12"/>
        <v>2019</v>
      </c>
      <c r="H67" s="9">
        <f t="shared" ref="H67:H96" si="14">MONTH(F67)</f>
        <v>10</v>
      </c>
      <c r="I67" s="11" t="s">
        <v>50</v>
      </c>
      <c r="J67" s="9" t="s">
        <v>153</v>
      </c>
      <c r="K67" s="11" t="s">
        <v>50</v>
      </c>
      <c r="L67" s="10">
        <v>3</v>
      </c>
      <c r="M67" s="16">
        <v>0</v>
      </c>
      <c r="N67" s="13" t="s">
        <v>50</v>
      </c>
      <c r="O67" s="9" t="s">
        <v>441</v>
      </c>
      <c r="P67" s="9"/>
      <c r="Q67" s="14">
        <f t="shared" si="13"/>
        <v>1</v>
      </c>
    </row>
    <row r="68" spans="1:17" x14ac:dyDescent="0.2">
      <c r="A68" s="7" t="s">
        <v>492</v>
      </c>
      <c r="B68" s="8" t="s">
        <v>50</v>
      </c>
      <c r="C68" s="9" t="s">
        <v>23</v>
      </c>
      <c r="D68" s="9" t="s">
        <v>4</v>
      </c>
      <c r="E68" s="14">
        <v>8</v>
      </c>
      <c r="F68" s="9" t="s">
        <v>496</v>
      </c>
      <c r="G68" s="9">
        <f t="shared" si="12"/>
        <v>2019</v>
      </c>
      <c r="H68" s="9">
        <f t="shared" si="14"/>
        <v>10</v>
      </c>
      <c r="I68" s="11" t="s">
        <v>50</v>
      </c>
      <c r="J68" s="9" t="s">
        <v>153</v>
      </c>
      <c r="K68" s="11" t="s">
        <v>50</v>
      </c>
      <c r="L68" s="10">
        <v>3</v>
      </c>
      <c r="M68" s="16">
        <v>0</v>
      </c>
      <c r="N68" s="7" t="s">
        <v>58</v>
      </c>
      <c r="O68" s="9" t="s">
        <v>441</v>
      </c>
      <c r="P68" s="9"/>
      <c r="Q68" s="14">
        <f t="shared" si="13"/>
        <v>7</v>
      </c>
    </row>
    <row r="69" spans="1:17" x14ac:dyDescent="0.2">
      <c r="A69" s="7" t="s">
        <v>493</v>
      </c>
      <c r="B69" s="8" t="s">
        <v>50</v>
      </c>
      <c r="C69" s="9" t="s">
        <v>23</v>
      </c>
      <c r="D69" s="9" t="s">
        <v>4</v>
      </c>
      <c r="E69" s="14">
        <v>6</v>
      </c>
      <c r="F69" s="9" t="s">
        <v>629</v>
      </c>
      <c r="G69" s="9">
        <f t="shared" si="12"/>
        <v>2019</v>
      </c>
      <c r="H69" s="9">
        <f t="shared" si="14"/>
        <v>10</v>
      </c>
      <c r="I69" s="11" t="s">
        <v>50</v>
      </c>
      <c r="J69" s="9" t="s">
        <v>153</v>
      </c>
      <c r="K69" s="11" t="s">
        <v>50</v>
      </c>
      <c r="L69" s="14">
        <v>4</v>
      </c>
      <c r="M69" s="16">
        <v>0</v>
      </c>
      <c r="N69" s="7" t="s">
        <v>498</v>
      </c>
      <c r="O69" s="9" t="s">
        <v>446</v>
      </c>
      <c r="P69" s="9"/>
      <c r="Q69" s="14">
        <f t="shared" si="13"/>
        <v>12</v>
      </c>
    </row>
    <row r="70" spans="1:17" x14ac:dyDescent="0.2">
      <c r="A70" s="7" t="s">
        <v>494</v>
      </c>
      <c r="B70" s="8" t="s">
        <v>50</v>
      </c>
      <c r="C70" s="9" t="s">
        <v>23</v>
      </c>
      <c r="D70" s="9" t="s">
        <v>4</v>
      </c>
      <c r="E70" s="14">
        <v>3</v>
      </c>
      <c r="F70" s="9" t="s">
        <v>629</v>
      </c>
      <c r="G70" s="9">
        <f t="shared" si="12"/>
        <v>2019</v>
      </c>
      <c r="H70" s="9">
        <f t="shared" si="14"/>
        <v>10</v>
      </c>
      <c r="I70" s="11" t="s">
        <v>50</v>
      </c>
      <c r="J70" s="9" t="s">
        <v>153</v>
      </c>
      <c r="K70" s="11" t="s">
        <v>50</v>
      </c>
      <c r="L70" s="14">
        <v>3</v>
      </c>
      <c r="M70" s="16">
        <v>0</v>
      </c>
      <c r="N70" s="13" t="s">
        <v>50</v>
      </c>
      <c r="O70" s="9" t="s">
        <v>446</v>
      </c>
      <c r="P70" s="9"/>
      <c r="Q70" s="14">
        <f t="shared" si="13"/>
        <v>1</v>
      </c>
    </row>
    <row r="71" spans="1:17" x14ac:dyDescent="0.2">
      <c r="A71" s="7" t="s">
        <v>495</v>
      </c>
      <c r="B71" s="8" t="s">
        <v>50</v>
      </c>
      <c r="C71" s="9" t="s">
        <v>23</v>
      </c>
      <c r="D71" s="9" t="s">
        <v>4</v>
      </c>
      <c r="E71" s="14">
        <v>10</v>
      </c>
      <c r="F71" s="9" t="s">
        <v>629</v>
      </c>
      <c r="G71" s="9">
        <f t="shared" si="12"/>
        <v>2019</v>
      </c>
      <c r="H71" s="9">
        <f t="shared" si="14"/>
        <v>10</v>
      </c>
      <c r="I71" s="11" t="s">
        <v>50</v>
      </c>
      <c r="J71" s="9" t="s">
        <v>153</v>
      </c>
      <c r="K71" s="11" t="s">
        <v>50</v>
      </c>
      <c r="L71" s="14">
        <v>4</v>
      </c>
      <c r="M71" s="16">
        <v>0</v>
      </c>
      <c r="N71" s="7" t="s">
        <v>58</v>
      </c>
      <c r="O71" s="9" t="s">
        <v>446</v>
      </c>
      <c r="P71" s="9"/>
      <c r="Q71" s="14">
        <f t="shared" si="13"/>
        <v>7</v>
      </c>
    </row>
    <row r="72" spans="1:17" x14ac:dyDescent="0.2">
      <c r="A72" s="7" t="s">
        <v>499</v>
      </c>
      <c r="B72" s="8" t="s">
        <v>50</v>
      </c>
      <c r="C72" s="9" t="s">
        <v>23</v>
      </c>
      <c r="D72" s="9" t="s">
        <v>4</v>
      </c>
      <c r="E72" s="14">
        <v>23</v>
      </c>
      <c r="F72" s="9" t="s">
        <v>630</v>
      </c>
      <c r="G72" s="9">
        <f t="shared" si="12"/>
        <v>2019</v>
      </c>
      <c r="H72" s="9">
        <f t="shared" si="14"/>
        <v>11</v>
      </c>
      <c r="I72" s="11" t="s">
        <v>50</v>
      </c>
      <c r="J72" s="9" t="s">
        <v>153</v>
      </c>
      <c r="K72" s="11" t="s">
        <v>50</v>
      </c>
      <c r="L72" s="14">
        <v>3</v>
      </c>
      <c r="M72" s="16">
        <v>0</v>
      </c>
      <c r="N72" s="7" t="s">
        <v>516</v>
      </c>
      <c r="O72" s="9" t="s">
        <v>441</v>
      </c>
      <c r="P72" s="9"/>
      <c r="Q72" s="14">
        <f t="shared" si="13"/>
        <v>3</v>
      </c>
    </row>
    <row r="73" spans="1:17" x14ac:dyDescent="0.2">
      <c r="A73" s="7" t="s">
        <v>500</v>
      </c>
      <c r="B73" s="8" t="s">
        <v>50</v>
      </c>
      <c r="C73" s="9" t="s">
        <v>23</v>
      </c>
      <c r="D73" s="9" t="s">
        <v>4</v>
      </c>
      <c r="E73" s="10">
        <v>6</v>
      </c>
      <c r="F73" s="9" t="s">
        <v>630</v>
      </c>
      <c r="G73" s="9">
        <f t="shared" si="12"/>
        <v>2019</v>
      </c>
      <c r="H73" s="9">
        <f t="shared" si="14"/>
        <v>11</v>
      </c>
      <c r="I73" s="11" t="s">
        <v>50</v>
      </c>
      <c r="J73" s="9" t="s">
        <v>153</v>
      </c>
      <c r="K73" s="11" t="s">
        <v>50</v>
      </c>
      <c r="L73" s="14">
        <v>3</v>
      </c>
      <c r="M73" s="16">
        <v>0</v>
      </c>
      <c r="N73" s="7" t="s">
        <v>516</v>
      </c>
      <c r="O73" s="9" t="s">
        <v>441</v>
      </c>
      <c r="P73" s="9"/>
      <c r="Q73" s="14">
        <f t="shared" si="13"/>
        <v>3</v>
      </c>
    </row>
    <row r="74" spans="1:17" x14ac:dyDescent="0.2">
      <c r="A74" s="7" t="s">
        <v>501</v>
      </c>
      <c r="B74" s="8" t="s">
        <v>50</v>
      </c>
      <c r="C74" s="9" t="s">
        <v>23</v>
      </c>
      <c r="D74" s="9" t="s">
        <v>4</v>
      </c>
      <c r="E74" s="10">
        <v>24</v>
      </c>
      <c r="F74" s="9" t="s">
        <v>630</v>
      </c>
      <c r="G74" s="9">
        <f t="shared" si="12"/>
        <v>2019</v>
      </c>
      <c r="H74" s="9">
        <f t="shared" si="14"/>
        <v>11</v>
      </c>
      <c r="I74" s="11" t="s">
        <v>50</v>
      </c>
      <c r="J74" s="9" t="s">
        <v>153</v>
      </c>
      <c r="K74" s="11" t="s">
        <v>50</v>
      </c>
      <c r="L74" s="14">
        <v>1</v>
      </c>
      <c r="M74" s="16">
        <v>0</v>
      </c>
      <c r="N74" s="13" t="s">
        <v>50</v>
      </c>
      <c r="O74" s="9" t="s">
        <v>441</v>
      </c>
      <c r="P74" s="9"/>
      <c r="Q74" s="14">
        <f t="shared" si="13"/>
        <v>1</v>
      </c>
    </row>
    <row r="75" spans="1:17" x14ac:dyDescent="0.2">
      <c r="A75" s="7" t="s">
        <v>502</v>
      </c>
      <c r="B75" s="8" t="s">
        <v>50</v>
      </c>
      <c r="C75" s="9" t="s">
        <v>23</v>
      </c>
      <c r="D75" s="9" t="s">
        <v>4</v>
      </c>
      <c r="E75" s="10">
        <v>15</v>
      </c>
      <c r="F75" s="9" t="s">
        <v>503</v>
      </c>
      <c r="G75" s="9">
        <f t="shared" si="12"/>
        <v>2019</v>
      </c>
      <c r="H75" s="9">
        <f t="shared" si="14"/>
        <v>11</v>
      </c>
      <c r="I75" s="11" t="s">
        <v>50</v>
      </c>
      <c r="J75" s="9" t="s">
        <v>153</v>
      </c>
      <c r="K75" s="11" t="s">
        <v>50</v>
      </c>
      <c r="L75" s="14">
        <v>4</v>
      </c>
      <c r="M75" s="16">
        <v>0</v>
      </c>
      <c r="N75" s="7" t="s">
        <v>519</v>
      </c>
      <c r="O75" s="9" t="s">
        <v>441</v>
      </c>
      <c r="P75" s="9"/>
      <c r="Q75" s="14">
        <f t="shared" si="13"/>
        <v>28</v>
      </c>
    </row>
    <row r="76" spans="1:17" x14ac:dyDescent="0.2">
      <c r="A76" s="7" t="s">
        <v>504</v>
      </c>
      <c r="B76" s="8" t="s">
        <v>50</v>
      </c>
      <c r="C76" s="9" t="s">
        <v>23</v>
      </c>
      <c r="D76" s="9" t="s">
        <v>4</v>
      </c>
      <c r="E76" s="10">
        <v>10</v>
      </c>
      <c r="F76" s="9" t="s">
        <v>503</v>
      </c>
      <c r="G76" s="9">
        <f t="shared" si="12"/>
        <v>2019</v>
      </c>
      <c r="H76" s="9">
        <f t="shared" si="14"/>
        <v>11</v>
      </c>
      <c r="I76" s="11" t="s">
        <v>50</v>
      </c>
      <c r="J76" s="9" t="s">
        <v>153</v>
      </c>
      <c r="K76" s="11" t="s">
        <v>50</v>
      </c>
      <c r="L76" s="14">
        <v>2</v>
      </c>
      <c r="M76" s="16">
        <v>0</v>
      </c>
      <c r="N76" s="13" t="s">
        <v>50</v>
      </c>
      <c r="O76" s="9" t="s">
        <v>441</v>
      </c>
      <c r="P76" s="9"/>
      <c r="Q76" s="14">
        <f t="shared" si="13"/>
        <v>1</v>
      </c>
    </row>
    <row r="77" spans="1:17" x14ac:dyDescent="0.2">
      <c r="A77" s="7" t="s">
        <v>505</v>
      </c>
      <c r="B77" s="8" t="s">
        <v>50</v>
      </c>
      <c r="C77" s="9" t="s">
        <v>23</v>
      </c>
      <c r="D77" s="9" t="s">
        <v>4</v>
      </c>
      <c r="E77" s="10">
        <v>10</v>
      </c>
      <c r="F77" s="9" t="s">
        <v>503</v>
      </c>
      <c r="G77" s="9">
        <f t="shared" si="12"/>
        <v>2019</v>
      </c>
      <c r="H77" s="9">
        <f t="shared" si="14"/>
        <v>11</v>
      </c>
      <c r="I77" s="11" t="s">
        <v>50</v>
      </c>
      <c r="J77" s="9" t="s">
        <v>153</v>
      </c>
      <c r="K77" s="11" t="s">
        <v>50</v>
      </c>
      <c r="L77" s="14">
        <v>1</v>
      </c>
      <c r="M77" s="16">
        <v>0</v>
      </c>
      <c r="N77" s="7" t="s">
        <v>520</v>
      </c>
      <c r="O77" s="9" t="s">
        <v>446</v>
      </c>
      <c r="P77" s="9"/>
      <c r="Q77" s="14">
        <f t="shared" si="13"/>
        <v>47</v>
      </c>
    </row>
    <row r="78" spans="1:17" x14ac:dyDescent="0.2">
      <c r="A78" s="7" t="s">
        <v>506</v>
      </c>
      <c r="B78" s="8" t="s">
        <v>50</v>
      </c>
      <c r="C78" s="9" t="s">
        <v>23</v>
      </c>
      <c r="D78" s="9" t="s">
        <v>4</v>
      </c>
      <c r="E78" s="10">
        <v>15</v>
      </c>
      <c r="F78" s="9" t="s">
        <v>503</v>
      </c>
      <c r="G78" s="9">
        <f t="shared" si="12"/>
        <v>2019</v>
      </c>
      <c r="H78" s="9">
        <f t="shared" si="14"/>
        <v>11</v>
      </c>
      <c r="I78" s="11" t="s">
        <v>50</v>
      </c>
      <c r="J78" s="9" t="s">
        <v>153</v>
      </c>
      <c r="K78" s="11" t="s">
        <v>50</v>
      </c>
      <c r="L78" s="14">
        <v>4</v>
      </c>
      <c r="M78" s="16">
        <v>0</v>
      </c>
      <c r="N78" s="7" t="s">
        <v>521</v>
      </c>
      <c r="O78" s="9" t="s">
        <v>441</v>
      </c>
      <c r="P78" s="9"/>
      <c r="Q78" s="14">
        <f t="shared" si="13"/>
        <v>72</v>
      </c>
    </row>
    <row r="79" spans="1:17" x14ac:dyDescent="0.2">
      <c r="A79" s="7" t="s">
        <v>507</v>
      </c>
      <c r="B79" s="8" t="s">
        <v>50</v>
      </c>
      <c r="C79" s="9" t="s">
        <v>23</v>
      </c>
      <c r="D79" s="9" t="s">
        <v>4</v>
      </c>
      <c r="E79" s="10">
        <v>35</v>
      </c>
      <c r="F79" s="9" t="s">
        <v>509</v>
      </c>
      <c r="G79" s="9">
        <f t="shared" si="12"/>
        <v>2019</v>
      </c>
      <c r="H79" s="9">
        <f t="shared" si="14"/>
        <v>11</v>
      </c>
      <c r="I79" s="11" t="s">
        <v>50</v>
      </c>
      <c r="J79" s="9" t="s">
        <v>153</v>
      </c>
      <c r="K79" s="11" t="s">
        <v>50</v>
      </c>
      <c r="L79" s="14">
        <v>3</v>
      </c>
      <c r="M79" s="16">
        <v>0</v>
      </c>
      <c r="N79" s="13" t="s">
        <v>50</v>
      </c>
      <c r="O79" s="9" t="s">
        <v>441</v>
      </c>
      <c r="P79" s="9"/>
      <c r="Q79" s="14">
        <f t="shared" si="13"/>
        <v>1</v>
      </c>
    </row>
    <row r="80" spans="1:17" x14ac:dyDescent="0.2">
      <c r="A80" s="7" t="s">
        <v>508</v>
      </c>
      <c r="B80" s="8" t="s">
        <v>50</v>
      </c>
      <c r="C80" s="9" t="s">
        <v>23</v>
      </c>
      <c r="D80" s="9" t="s">
        <v>4</v>
      </c>
      <c r="E80" s="10">
        <v>17</v>
      </c>
      <c r="F80" s="9" t="s">
        <v>509</v>
      </c>
      <c r="G80" s="9">
        <f t="shared" si="12"/>
        <v>2019</v>
      </c>
      <c r="H80" s="9">
        <f t="shared" si="14"/>
        <v>11</v>
      </c>
      <c r="I80" s="11" t="s">
        <v>50</v>
      </c>
      <c r="J80" s="9" t="s">
        <v>153</v>
      </c>
      <c r="K80" s="11" t="s">
        <v>50</v>
      </c>
      <c r="L80" s="14">
        <v>2</v>
      </c>
      <c r="M80" s="16">
        <v>0</v>
      </c>
      <c r="N80" s="13" t="s">
        <v>50</v>
      </c>
      <c r="O80" s="9" t="s">
        <v>441</v>
      </c>
      <c r="P80" s="9"/>
      <c r="Q80" s="14">
        <f t="shared" si="13"/>
        <v>1</v>
      </c>
    </row>
    <row r="81" spans="1:17" x14ac:dyDescent="0.2">
      <c r="A81" s="7" t="s">
        <v>510</v>
      </c>
      <c r="B81" s="8" t="s">
        <v>50</v>
      </c>
      <c r="C81" s="9" t="s">
        <v>23</v>
      </c>
      <c r="D81" s="9" t="s">
        <v>4</v>
      </c>
      <c r="E81" s="10">
        <v>12</v>
      </c>
      <c r="F81" s="9" t="s">
        <v>509</v>
      </c>
      <c r="G81" s="9">
        <f t="shared" si="12"/>
        <v>2019</v>
      </c>
      <c r="H81" s="9">
        <f t="shared" si="14"/>
        <v>11</v>
      </c>
      <c r="I81" s="11" t="s">
        <v>50</v>
      </c>
      <c r="J81" s="9" t="s">
        <v>153</v>
      </c>
      <c r="K81" s="11" t="s">
        <v>50</v>
      </c>
      <c r="L81" s="14">
        <v>1</v>
      </c>
      <c r="M81" s="16">
        <v>0</v>
      </c>
      <c r="N81" s="7" t="s">
        <v>60</v>
      </c>
      <c r="O81" s="9" t="s">
        <v>441</v>
      </c>
      <c r="P81" s="9"/>
      <c r="Q81" s="14">
        <f t="shared" si="13"/>
        <v>8</v>
      </c>
    </row>
    <row r="82" spans="1:17" x14ac:dyDescent="0.2">
      <c r="A82" s="12" t="s">
        <v>511</v>
      </c>
      <c r="B82" s="8" t="s">
        <v>50</v>
      </c>
      <c r="C82" s="9" t="s">
        <v>23</v>
      </c>
      <c r="D82" s="9" t="s">
        <v>4</v>
      </c>
      <c r="E82" s="10">
        <v>9</v>
      </c>
      <c r="F82" s="9" t="s">
        <v>509</v>
      </c>
      <c r="G82" s="9">
        <f t="shared" si="12"/>
        <v>2019</v>
      </c>
      <c r="H82" s="9">
        <f t="shared" si="14"/>
        <v>11</v>
      </c>
      <c r="I82" s="11" t="s">
        <v>50</v>
      </c>
      <c r="J82" s="9" t="s">
        <v>153</v>
      </c>
      <c r="K82" s="11" t="s">
        <v>50</v>
      </c>
      <c r="L82" s="14">
        <v>3</v>
      </c>
      <c r="M82" s="16">
        <v>0</v>
      </c>
      <c r="N82" s="7" t="s">
        <v>498</v>
      </c>
      <c r="O82" s="9" t="s">
        <v>446</v>
      </c>
      <c r="P82" s="9"/>
      <c r="Q82" s="14">
        <f t="shared" si="13"/>
        <v>12</v>
      </c>
    </row>
    <row r="83" spans="1:17" x14ac:dyDescent="0.2">
      <c r="A83" s="7" t="s">
        <v>512</v>
      </c>
      <c r="B83" s="8" t="s">
        <v>50</v>
      </c>
      <c r="C83" s="9" t="s">
        <v>23</v>
      </c>
      <c r="D83" s="9" t="s">
        <v>4</v>
      </c>
      <c r="E83" s="10">
        <v>5</v>
      </c>
      <c r="F83" s="9" t="s">
        <v>509</v>
      </c>
      <c r="G83" s="9">
        <f t="shared" si="12"/>
        <v>2019</v>
      </c>
      <c r="H83" s="9">
        <f t="shared" si="14"/>
        <v>11</v>
      </c>
      <c r="I83" s="11" t="s">
        <v>50</v>
      </c>
      <c r="J83" s="9" t="s">
        <v>153</v>
      </c>
      <c r="K83" s="11" t="s">
        <v>50</v>
      </c>
      <c r="L83" s="14">
        <v>1</v>
      </c>
      <c r="M83" s="16">
        <v>0</v>
      </c>
      <c r="N83" s="7" t="s">
        <v>60</v>
      </c>
      <c r="O83" s="9" t="s">
        <v>441</v>
      </c>
      <c r="P83" s="9"/>
      <c r="Q83" s="14">
        <f t="shared" si="13"/>
        <v>8</v>
      </c>
    </row>
    <row r="84" spans="1:17" x14ac:dyDescent="0.2">
      <c r="A84" s="7" t="s">
        <v>513</v>
      </c>
      <c r="B84" s="8" t="s">
        <v>50</v>
      </c>
      <c r="C84" s="9" t="s">
        <v>23</v>
      </c>
      <c r="D84" s="9" t="s">
        <v>4</v>
      </c>
      <c r="E84" s="10">
        <v>14</v>
      </c>
      <c r="F84" s="9" t="s">
        <v>514</v>
      </c>
      <c r="G84" s="9">
        <f t="shared" si="12"/>
        <v>2019</v>
      </c>
      <c r="H84" s="9">
        <f t="shared" si="14"/>
        <v>11</v>
      </c>
      <c r="I84" s="11" t="s">
        <v>50</v>
      </c>
      <c r="J84" s="9" t="s">
        <v>153</v>
      </c>
      <c r="K84" s="11" t="s">
        <v>50</v>
      </c>
      <c r="L84" s="14">
        <v>3</v>
      </c>
      <c r="M84" s="16">
        <v>0</v>
      </c>
      <c r="N84" s="13" t="s">
        <v>50</v>
      </c>
      <c r="O84" s="9" t="s">
        <v>444</v>
      </c>
      <c r="P84" s="9"/>
      <c r="Q84" s="14">
        <f t="shared" si="13"/>
        <v>1</v>
      </c>
    </row>
    <row r="85" spans="1:17" x14ac:dyDescent="0.2">
      <c r="A85" s="7" t="s">
        <v>515</v>
      </c>
      <c r="B85" s="8" t="s">
        <v>50</v>
      </c>
      <c r="C85" s="9" t="s">
        <v>23</v>
      </c>
      <c r="D85" s="9" t="s">
        <v>4</v>
      </c>
      <c r="E85" s="10">
        <v>48</v>
      </c>
      <c r="F85" s="9" t="s">
        <v>514</v>
      </c>
      <c r="G85" s="9">
        <f t="shared" si="12"/>
        <v>2019</v>
      </c>
      <c r="H85" s="9">
        <f t="shared" si="14"/>
        <v>11</v>
      </c>
      <c r="I85" s="11" t="s">
        <v>50</v>
      </c>
      <c r="J85" s="9" t="s">
        <v>153</v>
      </c>
      <c r="K85" s="11" t="s">
        <v>50</v>
      </c>
      <c r="L85" s="14">
        <v>3</v>
      </c>
      <c r="M85" s="16">
        <v>0</v>
      </c>
      <c r="N85" s="7" t="s">
        <v>516</v>
      </c>
      <c r="O85" s="9" t="s">
        <v>444</v>
      </c>
      <c r="P85" s="9"/>
      <c r="Q85" s="14">
        <f t="shared" si="13"/>
        <v>3</v>
      </c>
    </row>
    <row r="86" spans="1:17" x14ac:dyDescent="0.2">
      <c r="A86" s="7" t="s">
        <v>517</v>
      </c>
      <c r="B86" s="8" t="s">
        <v>50</v>
      </c>
      <c r="C86" s="9" t="s">
        <v>23</v>
      </c>
      <c r="D86" s="9" t="s">
        <v>4</v>
      </c>
      <c r="E86" s="10">
        <v>11</v>
      </c>
      <c r="F86" s="9" t="s">
        <v>514</v>
      </c>
      <c r="G86" s="9">
        <f t="shared" si="12"/>
        <v>2019</v>
      </c>
      <c r="H86" s="9">
        <f t="shared" si="14"/>
        <v>11</v>
      </c>
      <c r="I86" s="11" t="s">
        <v>50</v>
      </c>
      <c r="J86" s="9" t="s">
        <v>153</v>
      </c>
      <c r="K86" s="11" t="s">
        <v>50</v>
      </c>
      <c r="L86" s="14">
        <v>3</v>
      </c>
      <c r="M86" s="16">
        <v>0</v>
      </c>
      <c r="N86" s="13" t="s">
        <v>50</v>
      </c>
      <c r="O86" s="9" t="s">
        <v>444</v>
      </c>
      <c r="P86" s="9"/>
      <c r="Q86" s="14">
        <f t="shared" si="13"/>
        <v>1</v>
      </c>
    </row>
    <row r="87" spans="1:17" x14ac:dyDescent="0.2">
      <c r="A87" s="7" t="s">
        <v>518</v>
      </c>
      <c r="B87" s="9" t="s">
        <v>50</v>
      </c>
      <c r="C87" s="9" t="s">
        <v>23</v>
      </c>
      <c r="D87" s="9" t="s">
        <v>4</v>
      </c>
      <c r="E87" s="10">
        <v>12</v>
      </c>
      <c r="F87" s="9" t="s">
        <v>514</v>
      </c>
      <c r="G87" s="9">
        <f t="shared" si="12"/>
        <v>2019</v>
      </c>
      <c r="H87" s="9">
        <f t="shared" si="14"/>
        <v>11</v>
      </c>
      <c r="I87" s="11" t="s">
        <v>50</v>
      </c>
      <c r="J87" s="9" t="s">
        <v>153</v>
      </c>
      <c r="K87" s="11" t="s">
        <v>50</v>
      </c>
      <c r="L87" s="14">
        <v>3</v>
      </c>
      <c r="M87" s="16">
        <v>0</v>
      </c>
      <c r="N87" s="13" t="s">
        <v>50</v>
      </c>
      <c r="O87" s="9" t="s">
        <v>444</v>
      </c>
      <c r="P87" s="9"/>
      <c r="Q87" s="14">
        <f t="shared" si="13"/>
        <v>1</v>
      </c>
    </row>
    <row r="88" spans="1:17" x14ac:dyDescent="0.2">
      <c r="A88" s="7" t="s">
        <v>594</v>
      </c>
      <c r="B88" s="9" t="s">
        <v>50</v>
      </c>
      <c r="C88" s="9" t="s">
        <v>23</v>
      </c>
      <c r="D88" s="9" t="s">
        <v>4</v>
      </c>
      <c r="E88" s="14">
        <v>3</v>
      </c>
      <c r="F88" s="9" t="s">
        <v>593</v>
      </c>
      <c r="G88" s="9">
        <f t="shared" si="12"/>
        <v>2021</v>
      </c>
      <c r="H88" s="9">
        <f t="shared" si="14"/>
        <v>2</v>
      </c>
      <c r="I88" s="11" t="s">
        <v>50</v>
      </c>
      <c r="J88" s="9" t="s">
        <v>153</v>
      </c>
      <c r="K88" s="11" t="s">
        <v>50</v>
      </c>
      <c r="L88" s="10">
        <v>1</v>
      </c>
      <c r="M88" s="16">
        <v>0</v>
      </c>
      <c r="N88" s="7" t="s">
        <v>516</v>
      </c>
      <c r="O88" s="9" t="s">
        <v>442</v>
      </c>
      <c r="P88" s="9"/>
      <c r="Q88" s="14">
        <f t="shared" si="13"/>
        <v>3</v>
      </c>
    </row>
    <row r="89" spans="1:17" x14ac:dyDescent="0.2">
      <c r="A89" s="7" t="s">
        <v>595</v>
      </c>
      <c r="B89" s="9" t="s">
        <v>50</v>
      </c>
      <c r="C89" s="9" t="s">
        <v>23</v>
      </c>
      <c r="D89" s="9" t="s">
        <v>4</v>
      </c>
      <c r="E89" s="14">
        <v>12</v>
      </c>
      <c r="F89" s="9" t="s">
        <v>593</v>
      </c>
      <c r="G89" s="9">
        <f t="shared" si="12"/>
        <v>2021</v>
      </c>
      <c r="H89" s="9">
        <f t="shared" si="14"/>
        <v>2</v>
      </c>
      <c r="I89" s="11" t="s">
        <v>50</v>
      </c>
      <c r="J89" s="9" t="s">
        <v>153</v>
      </c>
      <c r="K89" s="11" t="s">
        <v>50</v>
      </c>
      <c r="L89" s="10">
        <v>1</v>
      </c>
      <c r="M89" s="16">
        <v>0</v>
      </c>
      <c r="N89" s="13" t="s">
        <v>50</v>
      </c>
      <c r="O89" s="9" t="s">
        <v>444</v>
      </c>
      <c r="P89" s="9"/>
      <c r="Q89" s="14">
        <f t="shared" ref="Q89:Q104" si="15">LEN(N89)</f>
        <v>1</v>
      </c>
    </row>
    <row r="90" spans="1:17" x14ac:dyDescent="0.2">
      <c r="A90" s="7" t="s">
        <v>596</v>
      </c>
      <c r="B90" s="9" t="s">
        <v>50</v>
      </c>
      <c r="C90" s="9" t="s">
        <v>23</v>
      </c>
      <c r="D90" s="9" t="s">
        <v>4</v>
      </c>
      <c r="E90" s="14">
        <v>6</v>
      </c>
      <c r="F90" s="9" t="s">
        <v>593</v>
      </c>
      <c r="G90" s="9">
        <f t="shared" si="12"/>
        <v>2021</v>
      </c>
      <c r="H90" s="9">
        <f t="shared" si="14"/>
        <v>2</v>
      </c>
      <c r="I90" s="11" t="s">
        <v>50</v>
      </c>
      <c r="J90" s="9" t="s">
        <v>153</v>
      </c>
      <c r="K90" s="11" t="s">
        <v>50</v>
      </c>
      <c r="L90" s="10">
        <v>1</v>
      </c>
      <c r="M90" s="16">
        <v>0</v>
      </c>
      <c r="N90" s="13" t="s">
        <v>50</v>
      </c>
      <c r="O90" s="9" t="s">
        <v>442</v>
      </c>
      <c r="P90" s="9"/>
      <c r="Q90" s="14">
        <f t="shared" si="15"/>
        <v>1</v>
      </c>
    </row>
    <row r="91" spans="1:17" x14ac:dyDescent="0.2">
      <c r="A91" s="7" t="s">
        <v>597</v>
      </c>
      <c r="B91" s="9" t="s">
        <v>50</v>
      </c>
      <c r="C91" s="9" t="s">
        <v>23</v>
      </c>
      <c r="D91" s="9" t="s">
        <v>4</v>
      </c>
      <c r="E91" s="14">
        <v>11</v>
      </c>
      <c r="F91" s="9" t="s">
        <v>598</v>
      </c>
      <c r="G91" s="9">
        <f t="shared" si="12"/>
        <v>2021</v>
      </c>
      <c r="H91" s="9">
        <f t="shared" si="14"/>
        <v>2</v>
      </c>
      <c r="I91" s="11" t="s">
        <v>50</v>
      </c>
      <c r="J91" s="9" t="s">
        <v>153</v>
      </c>
      <c r="K91" s="11" t="s">
        <v>50</v>
      </c>
      <c r="L91" s="10">
        <v>4</v>
      </c>
      <c r="M91" s="16">
        <v>0</v>
      </c>
      <c r="N91" s="22" t="s">
        <v>599</v>
      </c>
      <c r="O91" s="9" t="s">
        <v>442</v>
      </c>
      <c r="P91" s="9"/>
      <c r="Q91" s="14">
        <f t="shared" si="15"/>
        <v>18</v>
      </c>
    </row>
    <row r="92" spans="1:17" x14ac:dyDescent="0.2">
      <c r="A92" s="7" t="s">
        <v>600</v>
      </c>
      <c r="B92" s="9" t="s">
        <v>50</v>
      </c>
      <c r="C92" s="9" t="s">
        <v>23</v>
      </c>
      <c r="D92" s="9" t="s">
        <v>4</v>
      </c>
      <c r="E92" s="14">
        <v>7</v>
      </c>
      <c r="F92" s="9" t="s">
        <v>598</v>
      </c>
      <c r="G92" s="9">
        <f t="shared" si="12"/>
        <v>2021</v>
      </c>
      <c r="H92" s="9">
        <f t="shared" si="14"/>
        <v>2</v>
      </c>
      <c r="I92" s="11" t="s">
        <v>50</v>
      </c>
      <c r="J92" s="9" t="s">
        <v>153</v>
      </c>
      <c r="K92" s="11" t="s">
        <v>50</v>
      </c>
      <c r="L92" s="10">
        <v>1</v>
      </c>
      <c r="M92" s="16">
        <v>0</v>
      </c>
      <c r="N92" s="22" t="s">
        <v>602</v>
      </c>
      <c r="O92" s="9" t="s">
        <v>601</v>
      </c>
      <c r="P92" s="9"/>
      <c r="Q92" s="14">
        <f t="shared" si="15"/>
        <v>35</v>
      </c>
    </row>
    <row r="93" spans="1:17" x14ac:dyDescent="0.2">
      <c r="A93" s="7" t="s">
        <v>603</v>
      </c>
      <c r="B93" s="9" t="s">
        <v>50</v>
      </c>
      <c r="C93" s="9" t="s">
        <v>23</v>
      </c>
      <c r="D93" s="9" t="s">
        <v>4</v>
      </c>
      <c r="E93" s="14">
        <v>9</v>
      </c>
      <c r="F93" s="9" t="s">
        <v>598</v>
      </c>
      <c r="G93" s="9">
        <f t="shared" ref="G93:G104" si="16">YEAR(F93)</f>
        <v>2021</v>
      </c>
      <c r="H93" s="9">
        <f t="shared" si="14"/>
        <v>2</v>
      </c>
      <c r="I93" s="11" t="s">
        <v>50</v>
      </c>
      <c r="J93" s="9" t="s">
        <v>153</v>
      </c>
      <c r="K93" s="11" t="s">
        <v>50</v>
      </c>
      <c r="L93" s="10">
        <v>1</v>
      </c>
      <c r="M93" s="16">
        <v>0</v>
      </c>
      <c r="N93" s="22" t="s">
        <v>60</v>
      </c>
      <c r="O93" s="9" t="s">
        <v>441</v>
      </c>
      <c r="P93" s="9"/>
      <c r="Q93" s="14">
        <f t="shared" si="15"/>
        <v>8</v>
      </c>
    </row>
    <row r="94" spans="1:17" x14ac:dyDescent="0.2">
      <c r="A94" s="7" t="s">
        <v>604</v>
      </c>
      <c r="B94" s="9" t="s">
        <v>50</v>
      </c>
      <c r="C94" s="9" t="s">
        <v>23</v>
      </c>
      <c r="D94" s="9" t="s">
        <v>4</v>
      </c>
      <c r="E94" s="14">
        <v>7</v>
      </c>
      <c r="F94" s="9" t="s">
        <v>598</v>
      </c>
      <c r="G94" s="9">
        <f t="shared" si="16"/>
        <v>2021</v>
      </c>
      <c r="H94" s="9">
        <f t="shared" si="14"/>
        <v>2</v>
      </c>
      <c r="I94" s="11" t="s">
        <v>50</v>
      </c>
      <c r="J94" s="9" t="s">
        <v>153</v>
      </c>
      <c r="K94" s="11" t="s">
        <v>50</v>
      </c>
      <c r="L94" s="10">
        <v>1</v>
      </c>
      <c r="M94" s="16">
        <v>0</v>
      </c>
      <c r="N94" s="22" t="s">
        <v>60</v>
      </c>
      <c r="O94" s="9" t="s">
        <v>442</v>
      </c>
      <c r="P94" s="9"/>
      <c r="Q94" s="14">
        <f t="shared" si="15"/>
        <v>8</v>
      </c>
    </row>
    <row r="95" spans="1:17" x14ac:dyDescent="0.2">
      <c r="A95" s="7" t="s">
        <v>605</v>
      </c>
      <c r="B95" s="9" t="s">
        <v>50</v>
      </c>
      <c r="C95" s="9" t="s">
        <v>23</v>
      </c>
      <c r="D95" s="9" t="s">
        <v>4</v>
      </c>
      <c r="E95" s="14">
        <v>7</v>
      </c>
      <c r="F95" s="9" t="s">
        <v>598</v>
      </c>
      <c r="G95" s="9">
        <f t="shared" si="16"/>
        <v>2021</v>
      </c>
      <c r="H95" s="9">
        <f t="shared" si="14"/>
        <v>2</v>
      </c>
      <c r="I95" s="11" t="s">
        <v>50</v>
      </c>
      <c r="J95" s="9" t="s">
        <v>153</v>
      </c>
      <c r="K95" s="11" t="s">
        <v>50</v>
      </c>
      <c r="L95" s="10">
        <v>1</v>
      </c>
      <c r="M95" s="16">
        <v>0</v>
      </c>
      <c r="N95" s="22" t="s">
        <v>60</v>
      </c>
      <c r="O95" s="9" t="s">
        <v>441</v>
      </c>
      <c r="P95" s="9"/>
      <c r="Q95" s="14">
        <f t="shared" si="15"/>
        <v>8</v>
      </c>
    </row>
    <row r="96" spans="1:17" x14ac:dyDescent="0.2">
      <c r="A96" s="7" t="s">
        <v>606</v>
      </c>
      <c r="B96" s="9" t="s">
        <v>50</v>
      </c>
      <c r="C96" s="9" t="s">
        <v>23</v>
      </c>
      <c r="D96" s="9" t="s">
        <v>4</v>
      </c>
      <c r="E96" s="14">
        <v>6</v>
      </c>
      <c r="F96" s="9" t="s">
        <v>607</v>
      </c>
      <c r="G96" s="9">
        <f t="shared" si="16"/>
        <v>2021</v>
      </c>
      <c r="H96" s="9">
        <f t="shared" si="14"/>
        <v>2</v>
      </c>
      <c r="I96" s="11" t="s">
        <v>50</v>
      </c>
      <c r="J96" s="9" t="s">
        <v>153</v>
      </c>
      <c r="K96" s="11" t="s">
        <v>50</v>
      </c>
      <c r="L96" s="10">
        <v>1</v>
      </c>
      <c r="M96" s="16">
        <v>0</v>
      </c>
      <c r="N96" s="22" t="s">
        <v>60</v>
      </c>
      <c r="O96" s="9" t="s">
        <v>446</v>
      </c>
      <c r="P96" s="9"/>
      <c r="Q96" s="14">
        <f t="shared" si="15"/>
        <v>8</v>
      </c>
    </row>
    <row r="97" spans="1:17" x14ac:dyDescent="0.2">
      <c r="A97" s="7" t="s">
        <v>608</v>
      </c>
      <c r="B97" s="9" t="s">
        <v>50</v>
      </c>
      <c r="C97" s="9" t="s">
        <v>23</v>
      </c>
      <c r="D97" s="9" t="s">
        <v>4</v>
      </c>
      <c r="E97" s="14">
        <v>8</v>
      </c>
      <c r="F97" s="9" t="s">
        <v>607</v>
      </c>
      <c r="G97" s="9">
        <f t="shared" si="16"/>
        <v>2021</v>
      </c>
      <c r="H97" s="9">
        <f t="shared" ref="H97:H104" si="17">MONTH(F97)</f>
        <v>2</v>
      </c>
      <c r="I97" s="11" t="s">
        <v>50</v>
      </c>
      <c r="J97" s="9" t="s">
        <v>153</v>
      </c>
      <c r="K97" s="11" t="s">
        <v>50</v>
      </c>
      <c r="L97" s="10">
        <v>1</v>
      </c>
      <c r="M97" s="16">
        <v>0</v>
      </c>
      <c r="N97" s="7" t="s">
        <v>516</v>
      </c>
      <c r="O97" s="9" t="s">
        <v>438</v>
      </c>
      <c r="P97" s="9"/>
      <c r="Q97" s="14">
        <f t="shared" si="15"/>
        <v>3</v>
      </c>
    </row>
    <row r="98" spans="1:17" x14ac:dyDescent="0.2">
      <c r="A98" s="7" t="s">
        <v>609</v>
      </c>
      <c r="B98" s="9" t="s">
        <v>50</v>
      </c>
      <c r="C98" s="9" t="s">
        <v>23</v>
      </c>
      <c r="D98" s="9" t="s">
        <v>4</v>
      </c>
      <c r="E98" s="14">
        <v>6</v>
      </c>
      <c r="F98" s="9" t="s">
        <v>607</v>
      </c>
      <c r="G98" s="9">
        <f t="shared" si="16"/>
        <v>2021</v>
      </c>
      <c r="H98" s="9">
        <f t="shared" si="17"/>
        <v>2</v>
      </c>
      <c r="I98" s="11" t="s">
        <v>50</v>
      </c>
      <c r="J98" s="9" t="s">
        <v>153</v>
      </c>
      <c r="K98" s="11" t="s">
        <v>50</v>
      </c>
      <c r="L98" s="10">
        <v>1</v>
      </c>
      <c r="M98" s="16">
        <v>0</v>
      </c>
      <c r="N98" s="13" t="s">
        <v>50</v>
      </c>
      <c r="O98" s="9" t="s">
        <v>442</v>
      </c>
      <c r="P98" s="9"/>
      <c r="Q98" s="14">
        <f t="shared" si="15"/>
        <v>1</v>
      </c>
    </row>
    <row r="99" spans="1:17" x14ac:dyDescent="0.2">
      <c r="A99" s="7" t="s">
        <v>610</v>
      </c>
      <c r="B99" s="9" t="s">
        <v>50</v>
      </c>
      <c r="C99" s="9" t="s">
        <v>23</v>
      </c>
      <c r="D99" s="9" t="s">
        <v>4</v>
      </c>
      <c r="E99" s="14">
        <v>9</v>
      </c>
      <c r="F99" s="9" t="s">
        <v>607</v>
      </c>
      <c r="G99" s="9">
        <f t="shared" si="16"/>
        <v>2021</v>
      </c>
      <c r="H99" s="9">
        <f t="shared" si="17"/>
        <v>2</v>
      </c>
      <c r="I99" s="11" t="s">
        <v>50</v>
      </c>
      <c r="J99" s="9" t="s">
        <v>153</v>
      </c>
      <c r="K99" s="11" t="s">
        <v>50</v>
      </c>
      <c r="L99" s="10">
        <v>2</v>
      </c>
      <c r="M99" s="16">
        <v>0</v>
      </c>
      <c r="N99" s="7" t="s">
        <v>516</v>
      </c>
      <c r="O99" s="9" t="s">
        <v>441</v>
      </c>
      <c r="P99" s="9"/>
      <c r="Q99" s="14">
        <f t="shared" si="15"/>
        <v>3</v>
      </c>
    </row>
    <row r="100" spans="1:17" x14ac:dyDescent="0.2">
      <c r="A100" s="7" t="s">
        <v>611</v>
      </c>
      <c r="B100" s="9" t="s">
        <v>50</v>
      </c>
      <c r="C100" s="9" t="s">
        <v>23</v>
      </c>
      <c r="D100" s="9" t="s">
        <v>4</v>
      </c>
      <c r="E100" s="14">
        <v>16</v>
      </c>
      <c r="F100" s="9" t="s">
        <v>607</v>
      </c>
      <c r="G100" s="9">
        <f t="shared" si="16"/>
        <v>2021</v>
      </c>
      <c r="H100" s="9">
        <f t="shared" si="17"/>
        <v>2</v>
      </c>
      <c r="I100" s="11" t="s">
        <v>50</v>
      </c>
      <c r="J100" s="9" t="s">
        <v>153</v>
      </c>
      <c r="K100" s="11" t="s">
        <v>50</v>
      </c>
      <c r="L100" s="10">
        <v>3</v>
      </c>
      <c r="M100" s="16">
        <v>0</v>
      </c>
      <c r="N100" s="22" t="s">
        <v>58</v>
      </c>
      <c r="O100" s="9" t="s">
        <v>441</v>
      </c>
      <c r="P100" s="9"/>
      <c r="Q100" s="14">
        <f t="shared" si="15"/>
        <v>7</v>
      </c>
    </row>
    <row r="101" spans="1:17" x14ac:dyDescent="0.2">
      <c r="A101" s="7" t="s">
        <v>612</v>
      </c>
      <c r="B101" s="9" t="s">
        <v>50</v>
      </c>
      <c r="C101" s="9" t="s">
        <v>23</v>
      </c>
      <c r="D101" s="9" t="s">
        <v>4</v>
      </c>
      <c r="E101" s="14">
        <v>5</v>
      </c>
      <c r="F101" s="9" t="s">
        <v>607</v>
      </c>
      <c r="G101" s="9">
        <f t="shared" si="16"/>
        <v>2021</v>
      </c>
      <c r="H101" s="9">
        <f t="shared" si="17"/>
        <v>2</v>
      </c>
      <c r="I101" s="11" t="s">
        <v>50</v>
      </c>
      <c r="J101" s="9" t="s">
        <v>153</v>
      </c>
      <c r="K101" s="11" t="s">
        <v>50</v>
      </c>
      <c r="L101" s="10">
        <v>1</v>
      </c>
      <c r="M101" s="16">
        <v>0</v>
      </c>
      <c r="N101" s="13" t="s">
        <v>50</v>
      </c>
      <c r="O101" s="9" t="s">
        <v>441</v>
      </c>
      <c r="P101" s="9"/>
      <c r="Q101" s="14">
        <f t="shared" si="15"/>
        <v>1</v>
      </c>
    </row>
    <row r="102" spans="1:17" x14ac:dyDescent="0.2">
      <c r="A102" s="7" t="s">
        <v>613</v>
      </c>
      <c r="B102" s="9" t="s">
        <v>50</v>
      </c>
      <c r="C102" s="9" t="s">
        <v>23</v>
      </c>
      <c r="D102" s="9" t="s">
        <v>4</v>
      </c>
      <c r="E102" s="14">
        <v>7</v>
      </c>
      <c r="F102" s="9" t="s">
        <v>607</v>
      </c>
      <c r="G102" s="9">
        <f t="shared" si="16"/>
        <v>2021</v>
      </c>
      <c r="H102" s="9">
        <f t="shared" si="17"/>
        <v>2</v>
      </c>
      <c r="I102" s="11" t="s">
        <v>50</v>
      </c>
      <c r="J102" s="9" t="s">
        <v>153</v>
      </c>
      <c r="K102" s="11" t="s">
        <v>50</v>
      </c>
      <c r="L102" s="10">
        <v>1</v>
      </c>
      <c r="M102" s="16">
        <v>0</v>
      </c>
      <c r="N102" s="13" t="s">
        <v>50</v>
      </c>
      <c r="O102" s="9" t="s">
        <v>438</v>
      </c>
      <c r="P102" s="9"/>
      <c r="Q102" s="14">
        <f t="shared" si="15"/>
        <v>1</v>
      </c>
    </row>
    <row r="103" spans="1:17" x14ac:dyDescent="0.2">
      <c r="A103" s="7" t="s">
        <v>614</v>
      </c>
      <c r="B103" s="9" t="s">
        <v>50</v>
      </c>
      <c r="C103" s="9" t="s">
        <v>23</v>
      </c>
      <c r="D103" s="9" t="s">
        <v>4</v>
      </c>
      <c r="E103" s="14">
        <v>9</v>
      </c>
      <c r="F103" s="9" t="s">
        <v>607</v>
      </c>
      <c r="G103" s="9">
        <f t="shared" si="16"/>
        <v>2021</v>
      </c>
      <c r="H103" s="9">
        <f t="shared" si="17"/>
        <v>2</v>
      </c>
      <c r="I103" s="11" t="s">
        <v>50</v>
      </c>
      <c r="J103" s="9" t="s">
        <v>153</v>
      </c>
      <c r="K103" s="11" t="s">
        <v>50</v>
      </c>
      <c r="L103" s="10">
        <v>4</v>
      </c>
      <c r="M103" s="16">
        <v>0</v>
      </c>
      <c r="N103" s="22" t="s">
        <v>615</v>
      </c>
      <c r="O103" s="9" t="s">
        <v>441</v>
      </c>
      <c r="P103" s="9"/>
      <c r="Q103" s="14">
        <f t="shared" si="15"/>
        <v>22</v>
      </c>
    </row>
    <row r="104" spans="1:17" x14ac:dyDescent="0.2">
      <c r="A104" s="7" t="s">
        <v>616</v>
      </c>
      <c r="B104" s="9" t="s">
        <v>50</v>
      </c>
      <c r="C104" s="9" t="s">
        <v>23</v>
      </c>
      <c r="D104" s="9" t="s">
        <v>4</v>
      </c>
      <c r="E104" s="14">
        <v>14</v>
      </c>
      <c r="F104" s="9" t="s">
        <v>607</v>
      </c>
      <c r="G104" s="9">
        <f t="shared" si="16"/>
        <v>2021</v>
      </c>
      <c r="H104" s="9">
        <f t="shared" si="17"/>
        <v>2</v>
      </c>
      <c r="I104" s="11" t="s">
        <v>50</v>
      </c>
      <c r="J104" s="9" t="s">
        <v>153</v>
      </c>
      <c r="K104" s="11" t="s">
        <v>50</v>
      </c>
      <c r="L104" s="10">
        <v>3</v>
      </c>
      <c r="M104" s="16">
        <v>0</v>
      </c>
      <c r="N104" s="22" t="s">
        <v>58</v>
      </c>
      <c r="O104" s="9" t="s">
        <v>538</v>
      </c>
      <c r="P104" s="9"/>
      <c r="Q104" s="14">
        <f t="shared" si="15"/>
        <v>7</v>
      </c>
    </row>
    <row r="105" spans="1:17" x14ac:dyDescent="0.2">
      <c r="A105" s="7"/>
      <c r="B105" s="10"/>
      <c r="C105" s="9"/>
      <c r="D105" s="9"/>
      <c r="E105" s="9"/>
      <c r="F105" s="9"/>
      <c r="G105" s="9"/>
      <c r="H105" s="9"/>
      <c r="I105" s="9"/>
      <c r="J105" s="9"/>
      <c r="K105" s="9"/>
      <c r="L105" s="10"/>
      <c r="M105" s="9"/>
      <c r="N105" s="12"/>
      <c r="O105" s="9"/>
      <c r="P105" s="9"/>
      <c r="Q105" s="14"/>
    </row>
    <row r="106" spans="1:17" x14ac:dyDescent="0.2">
      <c r="A106" s="7"/>
      <c r="B106" s="10"/>
      <c r="C106" s="9"/>
      <c r="D106" s="9"/>
      <c r="E106" s="9"/>
      <c r="F106" s="9"/>
      <c r="G106" s="9"/>
      <c r="H106" s="9"/>
      <c r="I106" s="9"/>
      <c r="J106" s="9"/>
      <c r="K106" s="9"/>
      <c r="L106" s="10"/>
      <c r="M106" s="9"/>
      <c r="N106" s="12"/>
      <c r="O106" s="9"/>
      <c r="P106" s="9"/>
      <c r="Q106" s="14"/>
    </row>
    <row r="107" spans="1:17" x14ac:dyDescent="0.2">
      <c r="A107" s="9"/>
      <c r="B107" s="10"/>
      <c r="C107" s="9"/>
      <c r="D107" s="9"/>
      <c r="E107" s="9"/>
      <c r="F107" s="9"/>
      <c r="G107" s="9"/>
      <c r="H107" s="9"/>
      <c r="I107" s="9"/>
      <c r="J107" s="9"/>
      <c r="K107" s="9"/>
      <c r="L107" s="9"/>
      <c r="M107" s="9"/>
      <c r="N107" s="9"/>
      <c r="O107" s="9"/>
      <c r="P107" s="9"/>
      <c r="Q107" s="14"/>
    </row>
    <row r="108" spans="1:17" x14ac:dyDescent="0.2">
      <c r="A108" s="9"/>
      <c r="B108" s="10"/>
      <c r="C108" s="9"/>
      <c r="D108" s="9"/>
      <c r="E108" s="9"/>
      <c r="F108" s="9"/>
      <c r="G108" s="9"/>
      <c r="H108" s="9"/>
      <c r="I108" s="9"/>
      <c r="J108" s="9"/>
      <c r="K108" s="9"/>
      <c r="L108" s="9"/>
      <c r="M108" s="9"/>
      <c r="N108" s="9"/>
      <c r="O108" s="9"/>
      <c r="P108" s="9"/>
      <c r="Q108" s="14"/>
    </row>
    <row r="109" spans="1:17" x14ac:dyDescent="0.2">
      <c r="A109" s="9"/>
      <c r="B109" s="10"/>
      <c r="C109" s="9"/>
      <c r="D109" s="9"/>
      <c r="E109" s="9"/>
      <c r="F109" s="9"/>
      <c r="G109" s="9"/>
      <c r="H109" s="9"/>
      <c r="I109" s="9"/>
      <c r="J109" s="9"/>
      <c r="K109" s="9"/>
      <c r="L109" s="9"/>
      <c r="M109" s="9"/>
      <c r="N109" s="9"/>
      <c r="O109" s="9"/>
      <c r="P109" s="9"/>
      <c r="Q109" s="14"/>
    </row>
    <row r="110" spans="1:17" x14ac:dyDescent="0.2">
      <c r="A110" s="9"/>
      <c r="B110" s="10"/>
      <c r="C110" s="9"/>
      <c r="D110" s="9"/>
      <c r="E110" s="9"/>
      <c r="F110" s="9"/>
      <c r="G110" s="9"/>
      <c r="H110" s="9"/>
      <c r="I110" s="9"/>
      <c r="J110" s="9"/>
      <c r="K110" s="9"/>
      <c r="L110" s="9"/>
      <c r="M110" s="9"/>
      <c r="N110" s="9"/>
      <c r="O110" s="9"/>
      <c r="P110" s="9"/>
      <c r="Q110" s="14"/>
    </row>
    <row r="111" spans="1:17" x14ac:dyDescent="0.2">
      <c r="A111" s="9"/>
      <c r="B111" s="10"/>
      <c r="C111" s="9"/>
      <c r="D111" s="9"/>
      <c r="E111" s="9"/>
      <c r="F111" s="9"/>
      <c r="G111" s="9"/>
      <c r="H111" s="9"/>
      <c r="I111" s="9"/>
      <c r="J111" s="9"/>
      <c r="K111" s="9"/>
      <c r="L111" s="9"/>
      <c r="M111" s="9"/>
      <c r="N111" s="9"/>
      <c r="O111" s="9"/>
      <c r="P111" s="9"/>
      <c r="Q111" s="14"/>
    </row>
    <row r="112" spans="1:17" x14ac:dyDescent="0.2">
      <c r="A112" s="9"/>
      <c r="B112" s="10"/>
      <c r="C112" s="9"/>
      <c r="D112" s="9"/>
      <c r="E112" s="9"/>
      <c r="F112" s="9"/>
      <c r="G112" s="9"/>
      <c r="H112" s="9"/>
      <c r="I112" s="9"/>
      <c r="J112" s="9"/>
      <c r="K112" s="9"/>
      <c r="L112" s="9"/>
      <c r="M112" s="9"/>
      <c r="N112" s="9"/>
      <c r="O112" s="9"/>
      <c r="P112" s="9"/>
      <c r="Q112" s="14"/>
    </row>
    <row r="113" spans="1:17" x14ac:dyDescent="0.2">
      <c r="A113" s="9"/>
      <c r="B113" s="10"/>
      <c r="C113" s="9"/>
      <c r="D113" s="9"/>
      <c r="E113" s="9"/>
      <c r="F113" s="9"/>
      <c r="G113" s="9"/>
      <c r="H113" s="9"/>
      <c r="I113" s="9"/>
      <c r="J113" s="9"/>
      <c r="K113" s="9"/>
      <c r="L113" s="9"/>
      <c r="M113" s="9"/>
      <c r="N113" s="9"/>
      <c r="O113" s="9"/>
      <c r="P113" s="9"/>
      <c r="Q113" s="14"/>
    </row>
    <row r="114" spans="1:17" x14ac:dyDescent="0.2">
      <c r="A114" s="9"/>
      <c r="B114" s="10"/>
      <c r="C114" s="9"/>
      <c r="D114" s="9"/>
      <c r="E114" s="9"/>
      <c r="F114" s="9"/>
      <c r="G114" s="9"/>
      <c r="H114" s="9"/>
      <c r="I114" s="9"/>
      <c r="J114" s="9"/>
      <c r="K114" s="9"/>
      <c r="L114" s="9"/>
      <c r="M114" s="9"/>
      <c r="N114" s="9"/>
      <c r="O114" s="9"/>
      <c r="P114" s="9"/>
      <c r="Q114" s="14"/>
    </row>
    <row r="116" spans="1:17" x14ac:dyDescent="0.2">
      <c r="A116" s="23"/>
      <c r="B116" s="24"/>
      <c r="C116" s="25"/>
      <c r="D116" s="25"/>
      <c r="E116" s="24"/>
      <c r="F116" s="25"/>
      <c r="G116" s="26"/>
      <c r="H116" s="26"/>
      <c r="I116" s="27"/>
      <c r="J116" s="25"/>
      <c r="K116" s="27"/>
      <c r="L116" s="28"/>
      <c r="M116" s="29"/>
    </row>
  </sheetData>
  <pageMargins left="0.25" right="0.25" top="0.75" bottom="0.75" header="0.3" footer="0.3"/>
  <pageSetup paperSize="8" fitToWidth="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17"/>
  <sheetViews>
    <sheetView zoomScaleNormal="100" workbookViewId="0">
      <pane ySplit="1" topLeftCell="A2" activePane="bottomLeft" state="frozen"/>
      <selection pane="bottomLeft" activeCell="A7" sqref="A7"/>
    </sheetView>
  </sheetViews>
  <sheetFormatPr defaultColWidth="9.140625" defaultRowHeight="12" outlineLevelCol="1" x14ac:dyDescent="0.2"/>
  <cols>
    <col min="1" max="1" width="57.42578125" style="1" customWidth="1"/>
    <col min="2" max="2" width="6.28515625" style="2" customWidth="1" outlineLevel="1"/>
    <col min="3" max="3" width="10.5703125" style="1" customWidth="1" outlineLevel="1"/>
    <col min="4" max="4" width="7.28515625" style="1" customWidth="1" outlineLevel="1"/>
    <col min="5" max="5" width="7.140625" style="1" customWidth="1" outlineLevel="1"/>
    <col min="6" max="6" width="9.7109375" style="1" customWidth="1" outlineLevel="1"/>
    <col min="7" max="7" width="8" style="1" customWidth="1" outlineLevel="1"/>
    <col min="8" max="8" width="8.5703125" style="1" customWidth="1" outlineLevel="1"/>
    <col min="9" max="9" width="11.140625" style="1" customWidth="1" outlineLevel="1"/>
    <col min="10" max="10" width="16" style="1" customWidth="1" outlineLevel="1"/>
    <col min="11" max="11" width="22.5703125" style="1" customWidth="1" outlineLevel="1"/>
    <col min="12" max="13" width="14.5703125" style="1" customWidth="1" outlineLevel="1"/>
    <col min="14" max="14" width="75.85546875" style="1" customWidth="1"/>
    <col min="15" max="15" width="18.5703125" style="1" customWidth="1"/>
    <col min="16" max="16" width="12.5703125" style="1" customWidth="1"/>
    <col min="17" max="17" width="9.140625" style="31"/>
    <col min="18" max="16384" width="9.140625" style="1"/>
  </cols>
  <sheetData>
    <row r="1" spans="1:17" x14ac:dyDescent="0.2">
      <c r="A1" s="4" t="s">
        <v>1</v>
      </c>
      <c r="B1" s="5" t="s">
        <v>2</v>
      </c>
      <c r="C1" s="6" t="s">
        <v>20</v>
      </c>
      <c r="D1" s="6" t="s">
        <v>0</v>
      </c>
      <c r="E1" s="6" t="s">
        <v>451</v>
      </c>
      <c r="F1" s="6" t="s">
        <v>539</v>
      </c>
      <c r="G1" s="6" t="s">
        <v>540</v>
      </c>
      <c r="H1" s="6" t="s">
        <v>541</v>
      </c>
      <c r="I1" s="6" t="s">
        <v>625</v>
      </c>
      <c r="J1" s="6" t="s">
        <v>626</v>
      </c>
      <c r="K1" s="6" t="s">
        <v>339</v>
      </c>
      <c r="L1" s="6" t="s">
        <v>576</v>
      </c>
      <c r="M1" s="6" t="s">
        <v>627</v>
      </c>
      <c r="N1" s="19" t="s">
        <v>8</v>
      </c>
      <c r="O1" s="6" t="s">
        <v>443</v>
      </c>
      <c r="P1" s="6" t="s">
        <v>628</v>
      </c>
      <c r="Q1" s="6" t="s">
        <v>624</v>
      </c>
    </row>
    <row r="2" spans="1:17" x14ac:dyDescent="0.2">
      <c r="A2" s="7" t="s">
        <v>85</v>
      </c>
      <c r="B2" s="10">
        <v>2009</v>
      </c>
      <c r="C2" s="9" t="s">
        <v>86</v>
      </c>
      <c r="D2" s="9" t="s">
        <v>4</v>
      </c>
      <c r="E2" s="10">
        <v>64</v>
      </c>
      <c r="F2" s="9" t="s">
        <v>87</v>
      </c>
      <c r="G2" s="14">
        <f t="shared" ref="G2" si="0">YEAR(F2)</f>
        <v>2016</v>
      </c>
      <c r="H2" s="14">
        <f t="shared" ref="H2" si="1">MONTH(F2)</f>
        <v>9</v>
      </c>
      <c r="I2" s="11" t="s">
        <v>50</v>
      </c>
      <c r="J2" s="11" t="s">
        <v>153</v>
      </c>
      <c r="K2" s="11" t="s">
        <v>50</v>
      </c>
      <c r="L2" s="8">
        <v>2</v>
      </c>
      <c r="M2" s="11" t="s">
        <v>50</v>
      </c>
      <c r="N2" s="13" t="s">
        <v>50</v>
      </c>
      <c r="O2" s="9" t="s">
        <v>442</v>
      </c>
      <c r="P2" s="9"/>
      <c r="Q2" s="14">
        <f t="shared" ref="Q2" si="2">LEN(N2)</f>
        <v>1</v>
      </c>
    </row>
    <row r="3" spans="1:17" x14ac:dyDescent="0.2">
      <c r="A3" s="7" t="s">
        <v>159</v>
      </c>
      <c r="B3" s="8" t="s">
        <v>50</v>
      </c>
      <c r="C3" s="9" t="s">
        <v>86</v>
      </c>
      <c r="D3" s="9" t="s">
        <v>4</v>
      </c>
      <c r="E3" s="10">
        <v>25</v>
      </c>
      <c r="F3" s="9" t="s">
        <v>160</v>
      </c>
      <c r="G3" s="14">
        <f t="shared" ref="G3:G5" si="3">YEAR(F3)</f>
        <v>2017</v>
      </c>
      <c r="H3" s="14">
        <f t="shared" ref="H3:H5" si="4">MONTH(F3)</f>
        <v>2</v>
      </c>
      <c r="I3" s="9" t="s">
        <v>153</v>
      </c>
      <c r="J3" s="9" t="s">
        <v>153</v>
      </c>
      <c r="K3" s="11" t="s">
        <v>50</v>
      </c>
      <c r="L3" s="10">
        <v>1</v>
      </c>
      <c r="M3" s="11" t="s">
        <v>50</v>
      </c>
      <c r="N3" s="7" t="s">
        <v>161</v>
      </c>
      <c r="O3" s="9" t="s">
        <v>441</v>
      </c>
      <c r="P3" s="9"/>
      <c r="Q3" s="14">
        <f t="shared" ref="Q3:Q5" si="5">LEN(N3)</f>
        <v>25</v>
      </c>
    </row>
    <row r="4" spans="1:17" x14ac:dyDescent="0.2">
      <c r="A4" s="7" t="s">
        <v>202</v>
      </c>
      <c r="B4" s="8" t="s">
        <v>50</v>
      </c>
      <c r="C4" s="9" t="s">
        <v>203</v>
      </c>
      <c r="D4" s="9" t="s">
        <v>4</v>
      </c>
      <c r="E4" s="10">
        <v>100</v>
      </c>
      <c r="F4" s="9" t="s">
        <v>201</v>
      </c>
      <c r="G4" s="14">
        <f t="shared" si="3"/>
        <v>2017</v>
      </c>
      <c r="H4" s="14">
        <f t="shared" si="4"/>
        <v>4</v>
      </c>
      <c r="I4" s="11" t="s">
        <v>50</v>
      </c>
      <c r="J4" s="9" t="s">
        <v>153</v>
      </c>
      <c r="K4" s="11" t="s">
        <v>50</v>
      </c>
      <c r="L4" s="8">
        <v>1</v>
      </c>
      <c r="M4" s="11" t="s">
        <v>50</v>
      </c>
      <c r="N4" s="13" t="s">
        <v>205</v>
      </c>
      <c r="O4" s="9" t="s">
        <v>441</v>
      </c>
      <c r="P4" s="9"/>
      <c r="Q4" s="14">
        <f t="shared" si="5"/>
        <v>24</v>
      </c>
    </row>
    <row r="5" spans="1:17" x14ac:dyDescent="0.2">
      <c r="A5" s="7" t="s">
        <v>204</v>
      </c>
      <c r="B5" s="8" t="s">
        <v>50</v>
      </c>
      <c r="C5" s="9" t="s">
        <v>203</v>
      </c>
      <c r="D5" s="9" t="s">
        <v>4</v>
      </c>
      <c r="E5" s="10">
        <v>100</v>
      </c>
      <c r="F5" s="9" t="s">
        <v>201</v>
      </c>
      <c r="G5" s="14">
        <f t="shared" si="3"/>
        <v>2017</v>
      </c>
      <c r="H5" s="14">
        <f t="shared" si="4"/>
        <v>4</v>
      </c>
      <c r="I5" s="11" t="s">
        <v>50</v>
      </c>
      <c r="J5" s="9" t="s">
        <v>153</v>
      </c>
      <c r="K5" s="11" t="s">
        <v>50</v>
      </c>
      <c r="L5" s="8">
        <v>1</v>
      </c>
      <c r="M5" s="11" t="s">
        <v>50</v>
      </c>
      <c r="N5" s="13" t="s">
        <v>205</v>
      </c>
      <c r="O5" s="9" t="s">
        <v>441</v>
      </c>
      <c r="P5" s="9"/>
      <c r="Q5" s="14">
        <f t="shared" si="5"/>
        <v>24</v>
      </c>
    </row>
    <row r="6" spans="1:17" x14ac:dyDescent="0.2">
      <c r="A6" s="7"/>
      <c r="B6" s="10"/>
      <c r="C6" s="9"/>
      <c r="D6" s="9"/>
      <c r="E6" s="9"/>
      <c r="F6" s="9"/>
      <c r="G6" s="9"/>
      <c r="H6" s="9"/>
      <c r="I6" s="9"/>
      <c r="J6" s="9"/>
      <c r="K6" s="9"/>
      <c r="L6" s="10"/>
      <c r="M6" s="9"/>
      <c r="N6" s="12"/>
      <c r="O6" s="9"/>
      <c r="P6" s="9"/>
      <c r="Q6" s="14"/>
    </row>
    <row r="7" spans="1:17" x14ac:dyDescent="0.2">
      <c r="A7" s="7"/>
      <c r="B7" s="10"/>
      <c r="C7" s="9"/>
      <c r="D7" s="9"/>
      <c r="E7" s="9"/>
      <c r="F7" s="9"/>
      <c r="G7" s="9"/>
      <c r="H7" s="9"/>
      <c r="I7" s="9"/>
      <c r="J7" s="9"/>
      <c r="K7" s="9"/>
      <c r="L7" s="10"/>
      <c r="M7" s="9"/>
      <c r="N7" s="12"/>
      <c r="O7" s="9"/>
      <c r="P7" s="9"/>
      <c r="Q7" s="14"/>
    </row>
    <row r="8" spans="1:17" x14ac:dyDescent="0.2">
      <c r="A8" s="9"/>
      <c r="B8" s="10"/>
      <c r="C8" s="9"/>
      <c r="D8" s="9"/>
      <c r="E8" s="9"/>
      <c r="F8" s="9"/>
      <c r="G8" s="9"/>
      <c r="H8" s="9"/>
      <c r="I8" s="9"/>
      <c r="J8" s="9"/>
      <c r="K8" s="9"/>
      <c r="L8" s="9"/>
      <c r="M8" s="9"/>
      <c r="N8" s="9"/>
      <c r="O8" s="9"/>
      <c r="P8" s="9"/>
      <c r="Q8" s="14"/>
    </row>
    <row r="9" spans="1:17" x14ac:dyDescent="0.2">
      <c r="A9" s="9"/>
      <c r="B9" s="10"/>
      <c r="C9" s="9"/>
      <c r="D9" s="9"/>
      <c r="E9" s="9"/>
      <c r="F9" s="9"/>
      <c r="G9" s="9"/>
      <c r="H9" s="9"/>
      <c r="I9" s="9"/>
      <c r="J9" s="9"/>
      <c r="K9" s="9"/>
      <c r="L9" s="9"/>
      <c r="M9" s="9"/>
      <c r="N9" s="9"/>
      <c r="O9" s="9"/>
      <c r="P9" s="9"/>
      <c r="Q9" s="14"/>
    </row>
    <row r="10" spans="1:17" x14ac:dyDescent="0.2">
      <c r="A10" s="9"/>
      <c r="B10" s="10"/>
      <c r="C10" s="9"/>
      <c r="D10" s="9"/>
      <c r="E10" s="9"/>
      <c r="F10" s="9"/>
      <c r="G10" s="9"/>
      <c r="H10" s="9"/>
      <c r="I10" s="9"/>
      <c r="J10" s="9"/>
      <c r="K10" s="9"/>
      <c r="L10" s="9"/>
      <c r="M10" s="9"/>
      <c r="N10" s="9"/>
      <c r="O10" s="9"/>
      <c r="P10" s="9"/>
      <c r="Q10" s="14"/>
    </row>
    <row r="11" spans="1:17" x14ac:dyDescent="0.2">
      <c r="A11" s="9"/>
      <c r="B11" s="10"/>
      <c r="C11" s="9"/>
      <c r="D11" s="9"/>
      <c r="E11" s="9"/>
      <c r="F11" s="9"/>
      <c r="G11" s="9"/>
      <c r="H11" s="9"/>
      <c r="I11" s="9"/>
      <c r="J11" s="9"/>
      <c r="K11" s="9"/>
      <c r="L11" s="9"/>
      <c r="M11" s="9"/>
      <c r="N11" s="9"/>
      <c r="O11" s="9"/>
      <c r="P11" s="9"/>
      <c r="Q11" s="14"/>
    </row>
    <row r="12" spans="1:17" x14ac:dyDescent="0.2">
      <c r="A12" s="9"/>
      <c r="B12" s="10"/>
      <c r="C12" s="9"/>
      <c r="D12" s="9"/>
      <c r="E12" s="9"/>
      <c r="F12" s="9"/>
      <c r="G12" s="9"/>
      <c r="H12" s="9"/>
      <c r="I12" s="9"/>
      <c r="J12" s="9"/>
      <c r="K12" s="9"/>
      <c r="L12" s="9"/>
      <c r="M12" s="9"/>
      <c r="N12" s="9"/>
      <c r="O12" s="9"/>
      <c r="P12" s="9"/>
      <c r="Q12" s="14"/>
    </row>
    <row r="13" spans="1:17" x14ac:dyDescent="0.2">
      <c r="A13" s="9"/>
      <c r="B13" s="10"/>
      <c r="C13" s="9"/>
      <c r="D13" s="9"/>
      <c r="E13" s="9"/>
      <c r="F13" s="9"/>
      <c r="G13" s="9"/>
      <c r="H13" s="9"/>
      <c r="I13" s="9"/>
      <c r="J13" s="9"/>
      <c r="K13" s="9"/>
      <c r="L13" s="9"/>
      <c r="M13" s="9"/>
      <c r="N13" s="9"/>
      <c r="O13" s="9"/>
      <c r="P13" s="9"/>
      <c r="Q13" s="14"/>
    </row>
    <row r="14" spans="1:17" x14ac:dyDescent="0.2">
      <c r="A14" s="9"/>
      <c r="B14" s="10"/>
      <c r="C14" s="9"/>
      <c r="D14" s="9"/>
      <c r="E14" s="9"/>
      <c r="F14" s="9"/>
      <c r="G14" s="9"/>
      <c r="H14" s="9"/>
      <c r="I14" s="9"/>
      <c r="J14" s="9"/>
      <c r="K14" s="9"/>
      <c r="L14" s="9"/>
      <c r="M14" s="9"/>
      <c r="N14" s="9"/>
      <c r="O14" s="9"/>
      <c r="P14" s="9"/>
      <c r="Q14" s="14"/>
    </row>
    <row r="15" spans="1:17" x14ac:dyDescent="0.2">
      <c r="A15" s="9"/>
      <c r="B15" s="10"/>
      <c r="C15" s="9"/>
      <c r="D15" s="9"/>
      <c r="E15" s="9"/>
      <c r="F15" s="9"/>
      <c r="G15" s="9"/>
      <c r="H15" s="9"/>
      <c r="I15" s="9"/>
      <c r="J15" s="9"/>
      <c r="K15" s="9"/>
      <c r="L15" s="9"/>
      <c r="M15" s="9"/>
      <c r="N15" s="9"/>
      <c r="O15" s="9"/>
      <c r="P15" s="9"/>
      <c r="Q15" s="14"/>
    </row>
    <row r="17" spans="1:13" x14ac:dyDescent="0.2">
      <c r="A17" s="23"/>
      <c r="B17" s="24"/>
      <c r="C17" s="25"/>
      <c r="D17" s="25"/>
      <c r="E17" s="24"/>
      <c r="F17" s="25"/>
      <c r="G17" s="26"/>
      <c r="H17" s="26"/>
      <c r="I17" s="27"/>
      <c r="J17" s="25"/>
      <c r="K17" s="27"/>
      <c r="L17" s="28"/>
      <c r="M17" s="29"/>
    </row>
  </sheetData>
  <pageMargins left="0.25" right="0.25" top="0.75" bottom="0.75" header="0.3" footer="0.3"/>
  <pageSetup paperSize="8" fitToWidth="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Detailed2016</vt:lpstr>
      <vt:lpstr>Detailed2017</vt:lpstr>
      <vt:lpstr>Detailed2018</vt:lpstr>
      <vt:lpstr>Detailed2019</vt:lpstr>
      <vt:lpstr>Detailed2020</vt:lpstr>
      <vt:lpstr>Detailed2021</vt:lpstr>
      <vt:lpstr>Detailed2022</vt:lpstr>
      <vt:lpstr>Books</vt:lpstr>
      <vt:lpstr>Articles</vt:lpstr>
      <vt:lpstr>Others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Rubèn NW</dc:creator>
  <cp:lastModifiedBy>Rubèn</cp:lastModifiedBy>
  <cp:lastPrinted>2022-04-02T22:48:08Z</cp:lastPrinted>
  <dcterms:created xsi:type="dcterms:W3CDTF">2006-09-16T00:00:00Z</dcterms:created>
  <dcterms:modified xsi:type="dcterms:W3CDTF">2026-10-17T13:07:01Z</dcterms:modified>
</cp:coreProperties>
</file>