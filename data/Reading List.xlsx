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Books!$A$1:$T$372</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5" i="1" l="1"/>
  <c r="I125" i="1"/>
  <c r="H125" i="1"/>
  <c r="S15" i="1" l="1"/>
  <c r="I15" i="1"/>
  <c r="H15" i="1"/>
  <c r="S231" i="1" l="1"/>
  <c r="I231" i="1"/>
  <c r="H231" i="1"/>
  <c r="S372" i="1" l="1"/>
  <c r="I372" i="1"/>
  <c r="H372" i="1"/>
  <c r="S371" i="1" l="1"/>
  <c r="I371" i="1"/>
  <c r="H371" i="1"/>
  <c r="S370" i="1"/>
  <c r="I370" i="1"/>
  <c r="H370" i="1"/>
  <c r="S369" i="1"/>
  <c r="I369" i="1"/>
  <c r="H369" i="1"/>
  <c r="S368" i="1"/>
  <c r="I368" i="1"/>
  <c r="H368" i="1"/>
  <c r="S367" i="1"/>
  <c r="I367" i="1"/>
  <c r="H367" i="1"/>
  <c r="S366" i="1"/>
  <c r="I366" i="1"/>
  <c r="H366" i="1"/>
  <c r="S365" i="1"/>
  <c r="I365" i="1"/>
  <c r="H365" i="1"/>
  <c r="S364" i="1"/>
  <c r="I364" i="1"/>
  <c r="H364" i="1"/>
  <c r="S122" i="1" l="1"/>
  <c r="I122" i="1"/>
  <c r="H122" i="1"/>
  <c r="S121" i="1"/>
  <c r="I121" i="1"/>
  <c r="H121" i="1"/>
  <c r="S239" i="1" l="1"/>
  <c r="H239" i="1"/>
  <c r="I239" i="1"/>
  <c r="S109" i="1"/>
  <c r="H109" i="1"/>
  <c r="I109" i="1"/>
  <c r="H108" i="1"/>
  <c r="I108" i="1"/>
  <c r="S108" i="1"/>
  <c r="S363" i="1"/>
  <c r="I363" i="1"/>
  <c r="H363" i="1"/>
  <c r="S362" i="1" l="1"/>
  <c r="I362" i="1"/>
  <c r="H362" i="1"/>
  <c r="S361" i="1"/>
  <c r="I361" i="1"/>
  <c r="H361" i="1"/>
  <c r="S360" i="1" l="1"/>
  <c r="I360" i="1"/>
  <c r="H360" i="1"/>
  <c r="S359" i="1"/>
  <c r="I359" i="1"/>
  <c r="H359" i="1"/>
  <c r="S358" i="1"/>
  <c r="I358" i="1"/>
  <c r="H358" i="1"/>
  <c r="S357" i="1"/>
  <c r="I357" i="1"/>
  <c r="H357" i="1"/>
  <c r="S356" i="1"/>
  <c r="I356" i="1"/>
  <c r="H356" i="1"/>
  <c r="S355" i="1" l="1"/>
  <c r="I355" i="1"/>
  <c r="H355" i="1"/>
  <c r="S354" i="1"/>
  <c r="I354" i="1"/>
  <c r="H354" i="1"/>
  <c r="S353" i="1"/>
  <c r="I353" i="1"/>
  <c r="H353" i="1"/>
  <c r="S352" i="1"/>
  <c r="I352" i="1"/>
  <c r="H352" i="1"/>
  <c r="S351" i="1"/>
  <c r="I351" i="1"/>
  <c r="H351" i="1"/>
  <c r="S350" i="1"/>
  <c r="I350" i="1"/>
  <c r="H350" i="1"/>
  <c r="S349" i="1" l="1"/>
  <c r="I349" i="1"/>
  <c r="H349" i="1"/>
  <c r="S348" i="1"/>
  <c r="I348" i="1"/>
  <c r="H348" i="1"/>
  <c r="S347" i="1" l="1"/>
  <c r="I347" i="1"/>
  <c r="H347" i="1"/>
  <c r="S346" i="1"/>
  <c r="I346" i="1"/>
  <c r="H346" i="1"/>
  <c r="S345" i="1" l="1"/>
  <c r="I345" i="1"/>
  <c r="H345" i="1"/>
  <c r="S344" i="1"/>
  <c r="I344" i="1"/>
  <c r="H344" i="1"/>
  <c r="S343" i="1"/>
  <c r="I343" i="1"/>
  <c r="H343" i="1"/>
  <c r="S342" i="1"/>
  <c r="I342" i="1"/>
  <c r="H342" i="1"/>
  <c r="S341" i="1" l="1"/>
  <c r="I341" i="1"/>
  <c r="H341" i="1"/>
  <c r="S340" i="1"/>
  <c r="I340" i="1"/>
  <c r="H340" i="1"/>
  <c r="S339" i="1"/>
  <c r="I339" i="1"/>
  <c r="H339" i="1"/>
  <c r="S338" i="1"/>
  <c r="I338" i="1"/>
  <c r="H338" i="1"/>
  <c r="S337" i="1" l="1"/>
  <c r="I337" i="1"/>
  <c r="H337" i="1"/>
  <c r="I336" i="1"/>
  <c r="H336" i="1"/>
  <c r="S336" i="1"/>
  <c r="S335" i="1" l="1"/>
  <c r="I335" i="1"/>
  <c r="H335" i="1"/>
  <c r="S334" i="1"/>
  <c r="I334" i="1"/>
  <c r="H334" i="1"/>
  <c r="S333" i="1"/>
  <c r="I333" i="1"/>
  <c r="H333" i="1"/>
  <c r="S332" i="1"/>
  <c r="I332" i="1"/>
  <c r="H332" i="1"/>
  <c r="S331" i="1"/>
  <c r="I331" i="1"/>
  <c r="H331" i="1"/>
  <c r="S330" i="1" l="1"/>
  <c r="I330" i="1"/>
  <c r="H330" i="1"/>
  <c r="S329" i="1"/>
  <c r="I329" i="1"/>
  <c r="H329" i="1"/>
  <c r="S328" i="1"/>
  <c r="I328" i="1" l="1"/>
  <c r="H328" i="1"/>
  <c r="S327" i="1"/>
  <c r="I327" i="1"/>
  <c r="H327" i="1"/>
  <c r="S326" i="1"/>
  <c r="I326" i="1"/>
  <c r="H326" i="1"/>
  <c r="S325" i="1"/>
  <c r="I325" i="1"/>
  <c r="H325" i="1"/>
  <c r="S324" i="1"/>
  <c r="I324" i="1"/>
  <c r="H324" i="1"/>
  <c r="S323" i="1" l="1"/>
  <c r="I323" i="1"/>
  <c r="H323" i="1"/>
  <c r="S322" i="1"/>
  <c r="I322" i="1"/>
  <c r="H322" i="1"/>
  <c r="S321" i="1"/>
  <c r="I321" i="1"/>
  <c r="H321" i="1"/>
  <c r="S320" i="1"/>
  <c r="I320" i="1"/>
  <c r="H320" i="1"/>
  <c r="S319" i="1"/>
  <c r="I319" i="1"/>
  <c r="H319" i="1"/>
  <c r="H318" i="1"/>
  <c r="I318" i="1"/>
  <c r="S318" i="1"/>
  <c r="S317" i="1"/>
  <c r="I317" i="1"/>
  <c r="H317" i="1"/>
  <c r="S316" i="1"/>
  <c r="I316" i="1"/>
  <c r="H316" i="1"/>
  <c r="S315" i="1" l="1"/>
  <c r="I315" i="1"/>
  <c r="H315" i="1"/>
  <c r="S314" i="1"/>
  <c r="I314" i="1"/>
  <c r="H314" i="1"/>
  <c r="S271" i="1" l="1"/>
  <c r="S272" i="1"/>
  <c r="S273" i="1"/>
  <c r="S274" i="1"/>
  <c r="I272" i="1"/>
  <c r="H272" i="1"/>
  <c r="S313" i="1" l="1"/>
  <c r="I313" i="1"/>
  <c r="H313" i="1"/>
  <c r="S312" i="1" l="1"/>
  <c r="I312" i="1"/>
  <c r="H312" i="1"/>
  <c r="S311" i="1"/>
  <c r="I311" i="1"/>
  <c r="H311" i="1"/>
  <c r="S310" i="1" l="1"/>
  <c r="I310" i="1"/>
  <c r="H310" i="1"/>
  <c r="S309" i="1"/>
  <c r="I309" i="1"/>
  <c r="H309" i="1"/>
  <c r="S308" i="1"/>
  <c r="I308" i="1"/>
  <c r="H308" i="1"/>
  <c r="S307" i="1"/>
  <c r="I307" i="1"/>
  <c r="H307" i="1"/>
  <c r="S306" i="1"/>
  <c r="I306" i="1"/>
  <c r="H306" i="1"/>
  <c r="S305" i="1"/>
  <c r="I305" i="1"/>
  <c r="H305" i="1"/>
  <c r="S304" i="1" l="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l="1"/>
  <c r="H290" i="1"/>
  <c r="I290" i="1"/>
  <c r="S289" i="1"/>
  <c r="I289" i="1"/>
  <c r="H289" i="1"/>
  <c r="S288" i="1" l="1"/>
  <c r="I288" i="1"/>
  <c r="H288" i="1"/>
  <c r="S287" i="1"/>
  <c r="I287" i="1"/>
  <c r="H287" i="1"/>
  <c r="S286" i="1"/>
  <c r="I286" i="1"/>
  <c r="H286" i="1"/>
  <c r="S285" i="1" l="1"/>
  <c r="I285" i="1"/>
  <c r="H285" i="1"/>
  <c r="S284" i="1"/>
  <c r="I284" i="1"/>
  <c r="H284" i="1"/>
  <c r="S283" i="1" l="1"/>
  <c r="I283" i="1"/>
  <c r="H283" i="1"/>
  <c r="S282" i="1"/>
  <c r="I282" i="1"/>
  <c r="H282" i="1"/>
  <c r="S281" i="1"/>
  <c r="I281" i="1"/>
  <c r="H281" i="1"/>
  <c r="S280" i="1"/>
  <c r="I280" i="1"/>
  <c r="H280" i="1"/>
  <c r="S279" i="1"/>
  <c r="I279" i="1"/>
  <c r="H279" i="1"/>
  <c r="S278" i="1"/>
  <c r="I278" i="1"/>
  <c r="H278" i="1"/>
  <c r="S277" i="1"/>
  <c r="I277" i="1"/>
  <c r="H277" i="1"/>
  <c r="S276" i="1"/>
  <c r="I276" i="1"/>
  <c r="H276" i="1"/>
  <c r="S275" i="1"/>
  <c r="I275" i="1"/>
  <c r="H275" i="1"/>
  <c r="I274" i="1"/>
  <c r="H274" i="1"/>
  <c r="I273" i="1"/>
  <c r="H273" i="1"/>
  <c r="I271" i="1"/>
  <c r="H271" i="1"/>
  <c r="S270" i="1"/>
  <c r="I270" i="1"/>
  <c r="H270" i="1"/>
  <c r="S269" i="1"/>
  <c r="I269" i="1"/>
  <c r="H269" i="1"/>
  <c r="S268" i="1" l="1"/>
  <c r="I268" i="1"/>
  <c r="H268" i="1"/>
  <c r="S267" i="1"/>
  <c r="I267" i="1"/>
  <c r="H267" i="1"/>
  <c r="S266" i="1"/>
  <c r="H266" i="1"/>
  <c r="I266" i="1"/>
  <c r="S265" i="1" l="1"/>
  <c r="I265" i="1"/>
  <c r="H265" i="1"/>
  <c r="S264" i="1" l="1"/>
  <c r="I264" i="1"/>
  <c r="H264" i="1"/>
  <c r="S263" i="1"/>
  <c r="I263" i="1"/>
  <c r="H263" i="1"/>
  <c r="S262" i="1" l="1"/>
  <c r="I262" i="1"/>
  <c r="H262" i="1"/>
  <c r="S261" i="1"/>
  <c r="I261" i="1"/>
  <c r="H261" i="1"/>
  <c r="S260" i="1"/>
  <c r="I260" i="1"/>
  <c r="H260" i="1"/>
  <c r="S259" i="1"/>
  <c r="I259" i="1"/>
  <c r="H259" i="1"/>
  <c r="S258" i="1"/>
  <c r="I258" i="1"/>
  <c r="H258" i="1"/>
  <c r="S257" i="1"/>
  <c r="I257" i="1"/>
  <c r="H257" i="1"/>
  <c r="S256" i="1"/>
  <c r="I256" i="1"/>
  <c r="H256" i="1"/>
  <c r="S255" i="1"/>
  <c r="I255" i="1"/>
  <c r="H255" i="1"/>
  <c r="S254" i="1"/>
  <c r="H254" i="1"/>
  <c r="I254" i="1"/>
  <c r="S253" i="1" l="1"/>
  <c r="H253" i="1"/>
  <c r="I253" i="1"/>
  <c r="S252" i="1"/>
  <c r="I252" i="1"/>
  <c r="H252" i="1"/>
  <c r="S251" i="1"/>
  <c r="I251" i="1"/>
  <c r="H251" i="1"/>
  <c r="S250" i="1"/>
  <c r="H250" i="1"/>
  <c r="I250" i="1"/>
  <c r="S242" i="1" l="1"/>
  <c r="I242" i="1"/>
  <c r="H242" i="1"/>
  <c r="S248" i="1"/>
  <c r="S249" i="1"/>
  <c r="I249" i="1"/>
  <c r="H249" i="1"/>
  <c r="I248" i="1"/>
  <c r="H248" i="1"/>
  <c r="S247" i="1"/>
  <c r="I247" i="1"/>
  <c r="H247" i="1"/>
  <c r="S246" i="1"/>
  <c r="I246" i="1"/>
  <c r="H246" i="1"/>
  <c r="S245" i="1"/>
  <c r="I245" i="1"/>
  <c r="H245" i="1"/>
  <c r="S244" i="1"/>
  <c r="I244" i="1"/>
  <c r="H244" i="1"/>
  <c r="S243" i="1"/>
  <c r="H243" i="1"/>
  <c r="I243"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2" i="1"/>
  <c r="S233" i="1"/>
  <c r="S234" i="1"/>
  <c r="S235" i="1"/>
  <c r="S236" i="1"/>
  <c r="S237" i="1"/>
  <c r="S238" i="1"/>
  <c r="S240" i="1"/>
  <c r="S241" i="1"/>
  <c r="I241" i="1"/>
  <c r="H241" i="1"/>
  <c r="H240" i="1" l="1"/>
  <c r="I240" i="1"/>
  <c r="I238" i="1" l="1"/>
  <c r="H238" i="1"/>
  <c r="I237" i="1"/>
  <c r="H237" i="1"/>
  <c r="I236" i="1" l="1"/>
  <c r="H236" i="1"/>
  <c r="I235" i="1"/>
  <c r="H235" i="1"/>
  <c r="I234" i="1"/>
  <c r="H234" i="1"/>
  <c r="I233" i="1"/>
  <c r="H233" i="1"/>
  <c r="I232" i="1"/>
  <c r="H232" i="1"/>
  <c r="I230" i="1"/>
  <c r="H230" i="1"/>
  <c r="I229" i="1"/>
  <c r="H229" i="1"/>
  <c r="I228" i="1"/>
  <c r="H228" i="1"/>
  <c r="I227" i="1"/>
  <c r="H227" i="1"/>
  <c r="I226" i="1"/>
  <c r="H226" i="1"/>
  <c r="I225" i="1"/>
  <c r="H225" i="1"/>
  <c r="I213" i="1" l="1"/>
  <c r="I214" i="1"/>
  <c r="I215" i="1"/>
  <c r="I216" i="1"/>
  <c r="I217" i="1"/>
  <c r="I218" i="1"/>
  <c r="I219" i="1"/>
  <c r="I220" i="1"/>
  <c r="I221" i="1"/>
  <c r="I222" i="1"/>
  <c r="I223" i="1"/>
  <c r="I224" i="1"/>
  <c r="H213" i="1"/>
  <c r="H214" i="1"/>
  <c r="H215" i="1"/>
  <c r="H216" i="1"/>
  <c r="H217" i="1"/>
  <c r="H218" i="1"/>
  <c r="H219" i="1"/>
  <c r="H220" i="1"/>
  <c r="H221" i="1"/>
  <c r="H222" i="1"/>
  <c r="H223" i="1"/>
  <c r="H224"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C6" i="22"/>
  <c r="F7" i="21"/>
  <c r="F6" i="20"/>
  <c r="C3" i="22"/>
  <c r="H5" i="19"/>
  <c r="E8" i="20"/>
  <c r="F5" i="21"/>
  <c r="F9" i="18"/>
  <c r="E9" i="20"/>
  <c r="E6" i="19"/>
  <c r="B5" i="19"/>
  <c r="B14" i="19"/>
  <c r="H7" i="16"/>
  <c r="F8" i="20"/>
  <c r="C9" i="21"/>
  <c r="H9" i="19"/>
  <c r="C5" i="18"/>
  <c r="H11" i="18"/>
  <c r="H12" i="18"/>
  <c r="H4" i="17"/>
  <c r="F3" i="21"/>
  <c r="H3" i="22"/>
  <c r="H5" i="20"/>
  <c r="H14" i="17"/>
  <c r="H10" i="18"/>
  <c r="E8" i="16"/>
  <c r="H8" i="17"/>
  <c r="F4" i="17"/>
  <c r="F9" i="19"/>
  <c r="E11" i="18"/>
  <c r="C5" i="19"/>
  <c r="B3" i="22"/>
  <c r="F10" i="17"/>
  <c r="E11" i="22"/>
  <c r="C13" i="16"/>
  <c r="C7" i="18"/>
  <c r="F10" i="21"/>
  <c r="H9" i="17"/>
  <c r="H9" i="20"/>
  <c r="E9" i="17"/>
  <c r="F13" i="19"/>
  <c r="B5" i="16"/>
  <c r="F3" i="19"/>
  <c r="E6" i="16"/>
  <c r="H8" i="16"/>
  <c r="E7" i="21"/>
  <c r="F6" i="19"/>
  <c r="H8" i="18"/>
  <c r="E13" i="22"/>
  <c r="H13" i="21"/>
  <c r="E5" i="21"/>
  <c r="C12" i="21"/>
  <c r="C5" i="21"/>
  <c r="C11" i="16"/>
  <c r="C14" i="18"/>
  <c r="E4" i="19"/>
  <c r="F7" i="17"/>
  <c r="E4" i="21"/>
  <c r="F11" i="18"/>
  <c r="F8" i="18"/>
  <c r="E3" i="19"/>
  <c r="F13" i="22"/>
  <c r="C6" i="17"/>
  <c r="B13" i="22"/>
  <c r="B3" i="19"/>
  <c r="C3" i="20"/>
  <c r="C4" i="19"/>
  <c r="B10" i="19"/>
  <c r="B8" i="17"/>
  <c r="B11" i="22"/>
  <c r="C10" i="22"/>
  <c r="C12" i="18"/>
  <c r="E13" i="18"/>
  <c r="H8" i="20"/>
  <c r="F11" i="20"/>
  <c r="E14" i="18"/>
  <c r="H7" i="19"/>
  <c r="H11" i="19"/>
  <c r="H9" i="21"/>
  <c r="E14" i="19"/>
  <c r="C14" i="17"/>
  <c r="F3" i="17"/>
  <c r="E11" i="20"/>
  <c r="F5" i="19"/>
  <c r="H6" i="21"/>
  <c r="F4" i="18"/>
  <c r="E5" i="16"/>
  <c r="H6" i="20"/>
  <c r="C12" i="17"/>
  <c r="C3" i="18"/>
  <c r="B12" i="19"/>
  <c r="C13" i="20"/>
  <c r="F11" i="17"/>
  <c r="C10" i="19"/>
  <c r="F13" i="17"/>
  <c r="C6" i="19"/>
  <c r="B5" i="21"/>
  <c r="B11" i="16"/>
  <c r="B8" i="16"/>
  <c r="E10" i="17"/>
  <c r="E4" i="16"/>
  <c r="H4" i="22"/>
  <c r="B9" i="18"/>
  <c r="F14" i="21"/>
  <c r="B9" i="16"/>
  <c r="F9" i="20"/>
  <c r="F9" i="16"/>
  <c r="C6" i="21"/>
  <c r="E11" i="19"/>
  <c r="C9" i="17"/>
  <c r="E7" i="18"/>
  <c r="F10" i="19"/>
  <c r="H4" i="16"/>
  <c r="B3" i="21"/>
  <c r="E12" i="16"/>
  <c r="F7" i="22"/>
  <c r="C8" i="20"/>
  <c r="C9" i="19"/>
  <c r="E12" i="20"/>
  <c r="C14" i="20"/>
  <c r="F13" i="20"/>
  <c r="B10" i="21"/>
  <c r="B7" i="22"/>
  <c r="E11" i="17"/>
  <c r="E14" i="17"/>
  <c r="F14" i="17"/>
  <c r="H10" i="20"/>
  <c r="C4" i="18"/>
  <c r="H11" i="21"/>
  <c r="E8" i="18"/>
  <c r="E6" i="20"/>
  <c r="B6" i="22"/>
  <c r="B5" i="18"/>
  <c r="H6" i="17"/>
  <c r="E12" i="17"/>
  <c r="B13" i="21"/>
  <c r="H11" i="22"/>
  <c r="F12" i="19"/>
  <c r="F9" i="22"/>
  <c r="F8" i="17"/>
  <c r="B6" i="20"/>
  <c r="B12" i="22"/>
  <c r="C11" i="18"/>
  <c r="C4" i="20"/>
  <c r="E7" i="19"/>
  <c r="F12" i="22"/>
  <c r="B14" i="16"/>
  <c r="B11" i="20"/>
  <c r="C14" i="16"/>
  <c r="B8" i="20"/>
  <c r="E7" i="22"/>
  <c r="F6" i="17"/>
  <c r="B3" i="18"/>
  <c r="C13" i="22"/>
  <c r="E11" i="16"/>
  <c r="E4" i="18"/>
  <c r="B9" i="22"/>
  <c r="F11" i="16"/>
  <c r="H11" i="20"/>
  <c r="B5" i="17"/>
  <c r="H6" i="18"/>
  <c r="H8" i="21"/>
  <c r="H11" i="17"/>
  <c r="H6" i="22"/>
  <c r="C11" i="17"/>
  <c r="E5" i="22"/>
  <c r="F6" i="21"/>
  <c r="F12" i="20"/>
  <c r="E8" i="17"/>
  <c r="F8" i="16"/>
  <c r="H8" i="22"/>
  <c r="E8" i="19"/>
  <c r="H10" i="21"/>
  <c r="C12" i="19"/>
  <c r="H10" i="17"/>
  <c r="B13" i="16"/>
  <c r="F3" i="18"/>
  <c r="H10" i="16"/>
  <c r="F10" i="16"/>
  <c r="H12" i="19"/>
  <c r="E8" i="21"/>
  <c r="B11" i="17"/>
  <c r="H6" i="19"/>
  <c r="B14" i="20"/>
  <c r="B6" i="19"/>
  <c r="F6" i="16"/>
  <c r="B14" i="21"/>
  <c r="E9" i="21"/>
  <c r="C14" i="19"/>
  <c r="B6" i="18"/>
  <c r="B12" i="16"/>
  <c r="C7" i="21"/>
  <c r="H10" i="22"/>
  <c r="H7" i="18"/>
  <c r="F10" i="18"/>
  <c r="H7" i="20"/>
  <c r="F14" i="16"/>
  <c r="H3" i="19"/>
  <c r="E10" i="21"/>
  <c r="F6" i="18"/>
  <c r="F14" i="19"/>
  <c r="F8" i="19"/>
  <c r="C10" i="21"/>
  <c r="C7" i="17"/>
  <c r="E3" i="21"/>
  <c r="F5" i="18"/>
  <c r="H6" i="16"/>
  <c r="E13" i="19"/>
  <c r="E11" i="21"/>
  <c r="C8" i="16"/>
  <c r="C10" i="18"/>
  <c r="F4" i="22"/>
  <c r="E7" i="17"/>
  <c r="E5" i="19"/>
  <c r="B7" i="19"/>
  <c r="E4" i="20"/>
  <c r="F12" i="16"/>
  <c r="C4" i="17"/>
  <c r="B13" i="17"/>
  <c r="E10" i="16"/>
  <c r="H14" i="21"/>
  <c r="F8" i="21"/>
  <c r="C7" i="19"/>
  <c r="F5" i="17"/>
  <c r="B11" i="19"/>
  <c r="H11" i="16"/>
  <c r="B12" i="18"/>
  <c r="E5" i="20"/>
  <c r="F3" i="16"/>
  <c r="B5" i="20"/>
  <c r="B7" i="18"/>
  <c r="C3" i="16"/>
  <c r="H3" i="18"/>
  <c r="C12" i="16"/>
  <c r="B4" i="22"/>
  <c r="B6" i="17"/>
  <c r="C4" i="16"/>
  <c r="B11" i="21"/>
  <c r="H13" i="18"/>
  <c r="E6" i="17"/>
  <c r="B10" i="18"/>
  <c r="C5" i="22"/>
  <c r="F13" i="21"/>
  <c r="H13" i="20"/>
  <c r="C5" i="16"/>
  <c r="C7" i="22"/>
  <c r="E10" i="19"/>
  <c r="H3" i="20"/>
  <c r="H14" i="20"/>
  <c r="B14" i="17"/>
  <c r="C9" i="18"/>
  <c r="H14" i="18"/>
  <c r="F12" i="21"/>
  <c r="H9" i="22"/>
  <c r="E13" i="21"/>
  <c r="B10" i="17"/>
  <c r="B9" i="21"/>
  <c r="C13" i="18"/>
  <c r="H12" i="16"/>
  <c r="H4" i="20"/>
  <c r="E3" i="17"/>
  <c r="B10" i="16"/>
  <c r="C6" i="16"/>
  <c r="B9" i="20"/>
  <c r="E9" i="16"/>
  <c r="C10" i="16"/>
  <c r="C3" i="21"/>
  <c r="C8" i="22"/>
  <c r="F8" i="22"/>
  <c r="E3" i="22"/>
  <c r="C13" i="17"/>
  <c r="F10" i="20"/>
  <c r="E7" i="20"/>
  <c r="F12" i="17"/>
  <c r="B12" i="20"/>
  <c r="F9" i="17"/>
  <c r="C10" i="20"/>
  <c r="C12" i="20"/>
  <c r="F4" i="19"/>
  <c r="B4" i="20"/>
  <c r="B9" i="19"/>
  <c r="F11" i="19"/>
  <c r="B8" i="22"/>
  <c r="E5" i="18"/>
  <c r="F4" i="20"/>
  <c r="B3" i="16"/>
  <c r="E14" i="22"/>
  <c r="H4" i="19"/>
  <c r="C4" i="21"/>
  <c r="H5" i="17"/>
  <c r="E13" i="16"/>
  <c r="C4" i="22"/>
  <c r="C6" i="18"/>
  <c r="C3" i="19"/>
  <c r="B12" i="17"/>
  <c r="H7" i="17"/>
  <c r="B10" i="20"/>
  <c r="C9" i="16"/>
  <c r="H8" i="19"/>
  <c r="E12" i="18"/>
  <c r="B5" i="22"/>
  <c r="E14" i="16"/>
  <c r="F14" i="22"/>
  <c r="E6" i="21"/>
  <c r="B11" i="18"/>
  <c r="H4" i="18"/>
  <c r="F5" i="16"/>
  <c r="B3" i="17"/>
  <c r="B6" i="21"/>
  <c r="F7" i="18"/>
  <c r="H13" i="19"/>
  <c r="C11" i="19"/>
  <c r="F6" i="22"/>
  <c r="F7" i="16"/>
  <c r="H4" i="21"/>
  <c r="E12" i="19"/>
  <c r="F7" i="20"/>
  <c r="B7" i="17"/>
  <c r="H5" i="21"/>
  <c r="H3" i="16"/>
  <c r="H12" i="22"/>
  <c r="C9" i="22"/>
  <c r="B8" i="19"/>
  <c r="B4" i="21"/>
  <c r="F10" i="22"/>
  <c r="E6" i="18"/>
  <c r="B13" i="18"/>
  <c r="F11" i="22"/>
  <c r="B9" i="17"/>
  <c r="B7" i="16"/>
  <c r="E12" i="22"/>
  <c r="C9" i="20"/>
  <c r="E9" i="19"/>
  <c r="C14" i="22"/>
  <c r="H3" i="17"/>
  <c r="E9" i="18"/>
  <c r="B6" i="16"/>
  <c r="C7" i="16"/>
  <c r="F11" i="21"/>
  <c r="H13" i="22"/>
  <c r="B12" i="21"/>
  <c r="E9" i="22"/>
  <c r="C8" i="21"/>
  <c r="H5" i="16"/>
  <c r="F3" i="20"/>
  <c r="B4" i="17"/>
  <c r="F7" i="19"/>
  <c r="B3" i="20"/>
  <c r="C13" i="21"/>
  <c r="F14" i="20"/>
  <c r="E7" i="16"/>
  <c r="H14" i="22"/>
  <c r="H12" i="21"/>
  <c r="C8" i="19"/>
  <c r="F13" i="18"/>
  <c r="E3" i="20"/>
  <c r="C10" i="17"/>
  <c r="H7" i="21"/>
  <c r="C8" i="17"/>
  <c r="E12" i="21"/>
  <c r="H14" i="16"/>
  <c r="B4" i="16"/>
  <c r="B10" i="22"/>
  <c r="B14" i="22"/>
  <c r="C3" i="17"/>
  <c r="B8" i="18"/>
  <c r="C12" i="22"/>
  <c r="E8" i="22"/>
  <c r="C5" i="20"/>
  <c r="B14" i="18"/>
  <c r="H12" i="20"/>
  <c r="F13" i="16"/>
  <c r="C11" i="22"/>
  <c r="B7" i="21"/>
  <c r="C11" i="20"/>
  <c r="C13" i="19"/>
  <c r="F3" i="22"/>
  <c r="H12" i="17"/>
  <c r="F4" i="21"/>
  <c r="H9" i="16"/>
  <c r="E6" i="22"/>
  <c r="E5" i="17"/>
  <c r="E14" i="20"/>
  <c r="B4" i="18"/>
  <c r="E13" i="20"/>
  <c r="H10" i="19"/>
  <c r="E4" i="22"/>
  <c r="E3" i="16"/>
  <c r="C14" i="21"/>
  <c r="F5" i="20"/>
  <c r="F14" i="18"/>
  <c r="H7" i="22"/>
  <c r="B13" i="19"/>
  <c r="E10" i="18"/>
  <c r="E10" i="20"/>
  <c r="H13" i="16"/>
  <c r="H3" i="21"/>
  <c r="B8" i="21"/>
  <c r="B7" i="20"/>
  <c r="E14" i="21"/>
  <c r="C6" i="20"/>
  <c r="E4" i="17"/>
  <c r="E10" i="22"/>
  <c r="H5" i="22"/>
  <c r="E13" i="17"/>
  <c r="F4" i="16"/>
  <c r="F9" i="21"/>
  <c r="C5" i="17"/>
  <c r="B4" i="19"/>
  <c r="E3" i="18"/>
  <c r="H5" i="18"/>
  <c r="C7" i="20"/>
  <c r="F5" i="22"/>
  <c r="C8" i="18"/>
  <c r="H9" i="18"/>
  <c r="H13" i="17"/>
  <c r="F12" i="18"/>
  <c r="B13" i="20"/>
  <c r="H14" i="19"/>
  <c r="C11" i="21"/>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<sst xmlns="http://schemas.openxmlformats.org/spreadsheetml/2006/main" count="5670" uniqueCount="1203">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</sst>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81"/>
  <sheetViews>
    <sheetView tabSelected="1" topLeftCell="I1" zoomScaleNormal="100" workbookViewId="0">
      <pane ySplit="1" topLeftCell="A334" activePane="bottomLeft" state="frozen"/>
      <selection pane="bottomLeft" activeCell="S373" sqref="S37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row>
    <row r="2" spans="1:20"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row>
    <row r="3" spans="1:20"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row>
    <row r="4" spans="1:20"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row>
    <row r="5" spans="1:20"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row>
    <row r="6" spans="1:20"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row>
    <row r="7" spans="1:20"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row>
    <row r="8" spans="1:20"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row>
    <row r="9" spans="1:20"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row>
    <row r="10" spans="1:20"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row>
    <row r="11" spans="1:20"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row>
    <row r="12" spans="1:20"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row>
    <row r="13" spans="1:20"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row>
    <row r="14" spans="1:20"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row>
    <row r="15" spans="1:20" x14ac:dyDescent="0.2">
      <c r="A15" s="7" t="s">
        <v>1190</v>
      </c>
      <c r="B15" s="43">
        <v>2014</v>
      </c>
      <c r="C15" s="9" t="s">
        <v>21</v>
      </c>
      <c r="D15" s="9" t="s">
        <v>4</v>
      </c>
      <c r="E15" s="9" t="s">
        <v>634</v>
      </c>
      <c r="F15" s="43">
        <v>272</v>
      </c>
      <c r="G15" s="42"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row>
    <row r="16" spans="1:20"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row>
    <row r="17" spans="1:20"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row>
    <row r="18" spans="1:20"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row>
    <row r="19" spans="1:20"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row>
    <row r="20" spans="1:20"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row>
    <row r="21" spans="1:20"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row>
    <row r="22" spans="1:20"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row>
    <row r="23" spans="1:20"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row>
    <row r="24" spans="1:20"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row>
    <row r="25" spans="1:20"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row>
    <row r="26" spans="1:20"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row>
    <row r="27" spans="1:20"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row>
    <row r="28" spans="1:20"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row>
    <row r="29" spans="1:20"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row>
    <row r="30" spans="1:20"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row>
    <row r="31" spans="1:20"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row>
    <row r="32" spans="1:20"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row>
    <row r="33" spans="1:20"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row>
    <row r="34" spans="1:20"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row>
    <row r="35" spans="1:20"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row>
    <row r="36" spans="1:20"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row>
    <row r="37" spans="1:20"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row>
    <row r="38" spans="1:20"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row>
    <row r="39" spans="1:20"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row>
    <row r="40" spans="1:20"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row>
    <row r="41" spans="1:20"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row>
    <row r="42" spans="1:20"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row>
    <row r="43" spans="1:20"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row>
    <row r="44" spans="1:20"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row>
    <row r="45" spans="1:20"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row>
    <row r="46" spans="1:20"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row>
    <row r="47" spans="1:20"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row>
    <row r="48" spans="1:20"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row>
    <row r="49" spans="1:20"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row>
    <row r="50" spans="1:20"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row>
    <row r="51" spans="1:20"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row>
    <row r="52" spans="1:20"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row>
    <row r="53" spans="1:20"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row>
    <row r="54" spans="1:20"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row>
    <row r="55" spans="1:20"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row>
    <row r="56" spans="1:20"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row>
    <row r="57" spans="1:20"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row>
    <row r="58" spans="1:20"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row>
    <row r="59" spans="1:20"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row>
    <row r="60" spans="1:20"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row>
    <row r="61" spans="1:20"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row>
    <row r="62" spans="1:20"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row>
    <row r="63" spans="1:20"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row>
    <row r="64" spans="1:20"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row>
    <row r="65" spans="1:20"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row>
    <row r="66" spans="1:20"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row>
    <row r="67" spans="1:20"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row>
    <row r="68" spans="1:20"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row>
    <row r="69" spans="1:20"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row>
    <row r="70" spans="1:20"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row>
    <row r="71" spans="1:20"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row>
    <row r="72" spans="1:20"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row>
    <row r="73" spans="1:20"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row>
    <row r="74" spans="1:20"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row>
    <row r="75" spans="1:20"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row>
    <row r="76" spans="1:20"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row>
    <row r="77" spans="1:20"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row>
    <row r="78" spans="1:20"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row>
    <row r="79" spans="1:20"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row>
    <row r="80" spans="1:20"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row>
    <row r="81" spans="1:20"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row>
    <row r="82" spans="1:20"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row>
    <row r="83" spans="1:20"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row>
    <row r="84" spans="1:20"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row>
    <row r="85" spans="1:20"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row>
    <row r="86" spans="1:20"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row>
    <row r="87" spans="1:20"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row>
    <row r="88" spans="1:20"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row>
    <row r="89" spans="1:20"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row>
    <row r="90" spans="1:20"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row>
    <row r="91" spans="1:20"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row>
    <row r="92" spans="1:20"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row>
    <row r="93" spans="1:20"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row>
    <row r="94" spans="1:20"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row>
    <row r="95" spans="1:20"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row>
    <row r="96" spans="1:20"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row>
    <row r="97" spans="1:20"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row>
    <row r="98" spans="1:20"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row>
    <row r="99" spans="1:20"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row>
    <row r="100" spans="1:20"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row>
    <row r="101" spans="1:20"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row>
    <row r="102" spans="1:20"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row>
    <row r="103" spans="1:20"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row>
    <row r="104" spans="1:20"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row>
    <row r="105" spans="1:20"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row>
    <row r="106" spans="1:20"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row>
    <row r="107" spans="1:20"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row>
    <row r="108" spans="1:20"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row>
    <row r="109" spans="1:20"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row>
    <row r="110" spans="1:20"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row>
    <row r="111" spans="1:20"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row>
    <row r="112" spans="1:20"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row>
    <row r="113" spans="1:20"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row>
    <row r="114" spans="1:20"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row>
    <row r="115" spans="1:20"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row>
    <row r="116" spans="1:20"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row>
    <row r="117" spans="1:20"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row>
    <row r="118" spans="1:20"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row>
    <row r="119" spans="1:20"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row>
    <row r="120" spans="1:20"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row>
    <row r="121" spans="1:20"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row>
    <row r="122" spans="1:20"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row>
    <row r="123" spans="1:20"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row>
    <row r="124" spans="1:20"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row>
    <row r="125" spans="1:20"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row>
    <row r="126" spans="1:20"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row>
    <row r="127" spans="1:20"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row>
    <row r="128" spans="1:20"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row>
    <row r="129" spans="1:20"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row>
    <row r="130" spans="1:20"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row>
    <row r="131" spans="1:20"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row>
    <row r="132" spans="1:20"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row>
    <row r="133" spans="1:20"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row>
    <row r="134" spans="1:20"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row>
    <row r="135" spans="1:20"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row>
    <row r="136" spans="1:20"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row>
    <row r="137" spans="1:20"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row>
    <row r="138" spans="1:20"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row>
    <row r="139" spans="1:20"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row>
    <row r="140" spans="1:20"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row>
    <row r="141" spans="1:20"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row>
    <row r="142" spans="1:20"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row>
    <row r="143" spans="1:20"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row>
    <row r="144" spans="1:20"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row>
    <row r="145" spans="1:20"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row>
    <row r="146" spans="1:20"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row>
    <row r="147" spans="1:20"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row>
    <row r="148" spans="1:20"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row>
    <row r="149" spans="1:20"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row>
    <row r="150" spans="1:20"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row>
    <row r="151" spans="1:20"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row>
    <row r="152" spans="1:20"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row>
    <row r="153" spans="1:20"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row>
    <row r="154" spans="1:20"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row>
    <row r="155" spans="1:20"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row>
    <row r="156" spans="1:20"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row>
    <row r="157" spans="1:20"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row>
    <row r="158" spans="1:20"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row>
    <row r="159" spans="1:20"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row>
    <row r="160" spans="1:20"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row>
    <row r="161" spans="1:20"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row>
    <row r="162" spans="1:20"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row>
    <row r="163" spans="1:20"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row>
    <row r="164" spans="1:20"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row>
    <row r="165" spans="1:20"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row>
    <row r="166" spans="1:20"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row>
    <row r="167" spans="1:20"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row>
    <row r="168" spans="1:20"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row>
    <row r="169" spans="1:20"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row>
    <row r="170" spans="1:20"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row>
    <row r="171" spans="1:20"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row>
    <row r="172" spans="1:20"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row>
    <row r="173" spans="1:20"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row>
    <row r="174" spans="1:20"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row>
    <row r="175" spans="1:20"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row>
    <row r="176" spans="1:20"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row>
    <row r="177" spans="1:20"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row>
    <row r="178" spans="1:20"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row>
    <row r="179" spans="1:20"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row>
    <row r="180" spans="1:20"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row>
    <row r="181" spans="1:20"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row>
    <row r="182" spans="1:20"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row>
    <row r="183" spans="1:20"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row>
    <row r="184" spans="1:20"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row>
    <row r="185" spans="1:20"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row>
    <row r="186" spans="1:20" x14ac:dyDescent="0.2">
      <c r="A186" s="7" t="s">
        <v>456</v>
      </c>
      <c r="B186" s="10">
        <v>2015</v>
      </c>
      <c r="C186" s="9" t="s">
        <v>21</v>
      </c>
      <c r="D186" s="9" t="s">
        <v>4</v>
      </c>
      <c r="E186" s="9" t="s">
        <v>634</v>
      </c>
      <c r="F186" s="10">
        <v>181</v>
      </c>
      <c r="G186" s="9" t="s">
        <v>437</v>
      </c>
      <c r="H186" s="9">
        <f t="shared" ref="H186:H227"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row>
    <row r="187" spans="1:20"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row>
    <row r="188" spans="1:20"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row>
    <row r="189" spans="1:20"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row>
    <row r="190" spans="1:20"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row>
    <row r="191" spans="1:20"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row>
    <row r="192" spans="1:20"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row>
    <row r="193" spans="1:20"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row>
    <row r="194" spans="1:20"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row>
    <row r="195" spans="1:20"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row>
    <row r="196" spans="1:20"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6" si="20">LEN(P196)</f>
        <v>16</v>
      </c>
      <c r="T196" s="10">
        <v>110</v>
      </c>
    </row>
    <row r="197" spans="1:20"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row>
    <row r="198" spans="1:20"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row>
    <row r="199" spans="1:20"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row>
    <row r="200" spans="1:20"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row>
    <row r="201" spans="1:20"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row>
    <row r="202" spans="1:20"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row>
    <row r="203" spans="1:20" x14ac:dyDescent="0.2">
      <c r="A203" s="7" t="s">
        <v>522</v>
      </c>
      <c r="B203" s="8">
        <v>2018</v>
      </c>
      <c r="C203" s="9" t="s">
        <v>21</v>
      </c>
      <c r="D203" s="9" t="s">
        <v>4</v>
      </c>
      <c r="E203" s="9" t="s">
        <v>634</v>
      </c>
      <c r="F203" s="10">
        <v>736</v>
      </c>
      <c r="G203" s="9" t="s">
        <v>523</v>
      </c>
      <c r="H203" s="9">
        <f t="shared" si="16"/>
        <v>2020</v>
      </c>
      <c r="I203" s="9">
        <f t="shared" ref="I203:I227" si="21">MONTH(G203)</f>
        <v>4</v>
      </c>
      <c r="J203" s="9" t="s">
        <v>153</v>
      </c>
      <c r="K203" s="9" t="s">
        <v>153</v>
      </c>
      <c r="L203" s="9" t="s">
        <v>341</v>
      </c>
      <c r="M203" s="10">
        <v>1</v>
      </c>
      <c r="N203" s="35">
        <v>44.99</v>
      </c>
      <c r="O203" s="15" t="s">
        <v>632</v>
      </c>
      <c r="P203" s="22" t="s">
        <v>781</v>
      </c>
      <c r="Q203" s="9" t="s">
        <v>452</v>
      </c>
      <c r="R203" s="9" t="s">
        <v>152</v>
      </c>
      <c r="S203" s="14">
        <f t="shared" si="20"/>
        <v>254</v>
      </c>
      <c r="T203" s="10">
        <v>316</v>
      </c>
    </row>
    <row r="204" spans="1:20"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row>
    <row r="205" spans="1:20"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row>
    <row r="206" spans="1:20"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row>
    <row r="207" spans="1:20"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row>
    <row r="208" spans="1:20"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row>
    <row r="209" spans="1:20"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row>
    <row r="210" spans="1:20"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row>
    <row r="211" spans="1:20"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row>
    <row r="212" spans="1:20"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row>
    <row r="213" spans="1:20" x14ac:dyDescent="0.2">
      <c r="A213" s="7" t="s">
        <v>475</v>
      </c>
      <c r="B213" s="10">
        <v>2014</v>
      </c>
      <c r="C213" s="9" t="s">
        <v>21</v>
      </c>
      <c r="D213" s="9" t="s">
        <v>4</v>
      </c>
      <c r="E213" s="9" t="s">
        <v>634</v>
      </c>
      <c r="F213" s="10">
        <v>79</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150</v>
      </c>
    </row>
    <row r="214" spans="1:20" x14ac:dyDescent="0.2">
      <c r="A214" s="7" t="s">
        <v>545</v>
      </c>
      <c r="B214" s="10">
        <v>2018</v>
      </c>
      <c r="C214" s="9" t="s">
        <v>21</v>
      </c>
      <c r="D214" s="9" t="s">
        <v>4</v>
      </c>
      <c r="E214" s="9" t="s">
        <v>634</v>
      </c>
      <c r="F214" s="10">
        <v>71</v>
      </c>
      <c r="G214" s="9" t="s">
        <v>557</v>
      </c>
      <c r="H214" s="9">
        <f t="shared" si="16"/>
        <v>2020</v>
      </c>
      <c r="I214" s="9">
        <f t="shared" si="21"/>
        <v>10</v>
      </c>
      <c r="J214" s="9" t="s">
        <v>153</v>
      </c>
      <c r="K214" s="9" t="s">
        <v>153</v>
      </c>
      <c r="L214" s="9" t="s">
        <v>350</v>
      </c>
      <c r="M214" s="10">
        <v>3</v>
      </c>
      <c r="N214" s="35">
        <v>0</v>
      </c>
      <c r="O214" s="15" t="s">
        <v>632</v>
      </c>
      <c r="P214" s="22" t="s">
        <v>786</v>
      </c>
      <c r="Q214" s="9" t="s">
        <v>441</v>
      </c>
      <c r="R214" s="9" t="s">
        <v>153</v>
      </c>
      <c r="S214" s="14">
        <f t="shared" si="20"/>
        <v>17</v>
      </c>
      <c r="T214" s="10">
        <v>68</v>
      </c>
    </row>
    <row r="215" spans="1:20" x14ac:dyDescent="0.2">
      <c r="A215" s="7" t="s">
        <v>546</v>
      </c>
      <c r="B215" s="10">
        <v>2017</v>
      </c>
      <c r="C215" s="9" t="s">
        <v>21</v>
      </c>
      <c r="D215" s="9" t="s">
        <v>4</v>
      </c>
      <c r="E215" s="9" t="s">
        <v>634</v>
      </c>
      <c r="F215" s="10">
        <v>160</v>
      </c>
      <c r="G215" s="9" t="s">
        <v>558</v>
      </c>
      <c r="H215" s="9">
        <f t="shared" si="16"/>
        <v>2020</v>
      </c>
      <c r="I215" s="9">
        <f t="shared" si="21"/>
        <v>10</v>
      </c>
      <c r="J215" s="9" t="s">
        <v>153</v>
      </c>
      <c r="K215" s="9" t="s">
        <v>153</v>
      </c>
      <c r="L215" s="9" t="s">
        <v>570</v>
      </c>
      <c r="M215" s="10">
        <v>1</v>
      </c>
      <c r="N215" s="35">
        <v>13.59</v>
      </c>
      <c r="O215" s="15" t="s">
        <v>632</v>
      </c>
      <c r="P215" s="22" t="s">
        <v>787</v>
      </c>
      <c r="Q215" s="9" t="s">
        <v>1187</v>
      </c>
      <c r="R215" s="9" t="s">
        <v>153</v>
      </c>
      <c r="S215" s="14">
        <f t="shared" si="20"/>
        <v>352</v>
      </c>
      <c r="T215" s="10">
        <v>165</v>
      </c>
    </row>
    <row r="216" spans="1:20" x14ac:dyDescent="0.2">
      <c r="A216" s="7" t="s">
        <v>547</v>
      </c>
      <c r="B216" s="10">
        <v>2009</v>
      </c>
      <c r="C216" s="9" t="s">
        <v>21</v>
      </c>
      <c r="D216" s="9" t="s">
        <v>4</v>
      </c>
      <c r="E216" s="9" t="s">
        <v>634</v>
      </c>
      <c r="F216" s="10">
        <v>569</v>
      </c>
      <c r="G216" s="9" t="s">
        <v>559</v>
      </c>
      <c r="H216" s="9">
        <f t="shared" si="16"/>
        <v>2020</v>
      </c>
      <c r="I216" s="9">
        <f t="shared" si="21"/>
        <v>10</v>
      </c>
      <c r="J216" s="9" t="s">
        <v>152</v>
      </c>
      <c r="K216" s="9" t="s">
        <v>153</v>
      </c>
      <c r="L216" s="9" t="s">
        <v>349</v>
      </c>
      <c r="M216" s="10">
        <v>3</v>
      </c>
      <c r="N216" s="35">
        <v>27.1</v>
      </c>
      <c r="O216" s="15" t="s">
        <v>632</v>
      </c>
      <c r="P216" s="22" t="s">
        <v>788</v>
      </c>
      <c r="Q216" s="9" t="s">
        <v>1199</v>
      </c>
      <c r="R216" s="9" t="s">
        <v>153</v>
      </c>
      <c r="S216" s="14">
        <f t="shared" si="20"/>
        <v>277</v>
      </c>
      <c r="T216" s="10">
        <v>128</v>
      </c>
    </row>
    <row r="217" spans="1:20" x14ac:dyDescent="0.2">
      <c r="A217" s="7" t="s">
        <v>548</v>
      </c>
      <c r="B217" s="10">
        <v>2019</v>
      </c>
      <c r="C217" s="9" t="s">
        <v>21</v>
      </c>
      <c r="D217" s="9" t="s">
        <v>4</v>
      </c>
      <c r="E217" s="9" t="s">
        <v>634</v>
      </c>
      <c r="F217" s="10">
        <v>179</v>
      </c>
      <c r="G217" s="9" t="s">
        <v>560</v>
      </c>
      <c r="H217" s="9">
        <f t="shared" si="16"/>
        <v>2020</v>
      </c>
      <c r="I217" s="9">
        <f t="shared" si="21"/>
        <v>10</v>
      </c>
      <c r="J217" s="9" t="s">
        <v>153</v>
      </c>
      <c r="K217" s="9" t="s">
        <v>153</v>
      </c>
      <c r="L217" s="9" t="s">
        <v>567</v>
      </c>
      <c r="M217" s="10">
        <v>2</v>
      </c>
      <c r="N217" s="35">
        <v>23.21</v>
      </c>
      <c r="O217" s="15" t="s">
        <v>632</v>
      </c>
      <c r="P217" s="22" t="s">
        <v>789</v>
      </c>
      <c r="Q217" s="9" t="s">
        <v>1199</v>
      </c>
      <c r="R217" s="9" t="s">
        <v>153</v>
      </c>
      <c r="S217" s="14">
        <f t="shared" si="20"/>
        <v>57</v>
      </c>
      <c r="T217" s="10">
        <v>158</v>
      </c>
    </row>
    <row r="218" spans="1:20" x14ac:dyDescent="0.2">
      <c r="A218" s="7" t="s">
        <v>549</v>
      </c>
      <c r="B218" s="10">
        <v>2003</v>
      </c>
      <c r="C218" s="9" t="s">
        <v>21</v>
      </c>
      <c r="D218" s="9" t="s">
        <v>4</v>
      </c>
      <c r="E218" s="9" t="s">
        <v>634</v>
      </c>
      <c r="F218" s="10">
        <v>799</v>
      </c>
      <c r="G218" s="9" t="s">
        <v>561</v>
      </c>
      <c r="H218" s="9">
        <f t="shared" si="16"/>
        <v>2020</v>
      </c>
      <c r="I218" s="9">
        <f t="shared" si="21"/>
        <v>11</v>
      </c>
      <c r="J218" s="9" t="s">
        <v>153</v>
      </c>
      <c r="K218" s="9" t="s">
        <v>153</v>
      </c>
      <c r="L218" s="9" t="s">
        <v>342</v>
      </c>
      <c r="M218" s="10">
        <v>3</v>
      </c>
      <c r="N218" s="35">
        <v>47</v>
      </c>
      <c r="O218" s="15" t="s">
        <v>632</v>
      </c>
      <c r="P218" s="22" t="s">
        <v>790</v>
      </c>
      <c r="Q218" s="9" t="s">
        <v>441</v>
      </c>
      <c r="R218" s="9" t="s">
        <v>153</v>
      </c>
      <c r="S218" s="14">
        <f t="shared" si="20"/>
        <v>149</v>
      </c>
      <c r="T218" s="10">
        <v>512</v>
      </c>
    </row>
    <row r="219" spans="1:20" x14ac:dyDescent="0.2">
      <c r="A219" s="7" t="s">
        <v>550</v>
      </c>
      <c r="B219" s="10">
        <v>2007</v>
      </c>
      <c r="C219" s="9" t="s">
        <v>21</v>
      </c>
      <c r="D219" s="9" t="s">
        <v>4</v>
      </c>
      <c r="E219" s="9" t="s">
        <v>634</v>
      </c>
      <c r="F219" s="10">
        <v>86</v>
      </c>
      <c r="G219" s="9" t="s">
        <v>562</v>
      </c>
      <c r="H219" s="9">
        <f t="shared" si="16"/>
        <v>2020</v>
      </c>
      <c r="I219" s="9">
        <f t="shared" si="21"/>
        <v>11</v>
      </c>
      <c r="J219" s="9" t="s">
        <v>153</v>
      </c>
      <c r="K219" s="9" t="s">
        <v>153</v>
      </c>
      <c r="L219" s="9" t="s">
        <v>568</v>
      </c>
      <c r="M219" s="10">
        <v>2</v>
      </c>
      <c r="N219" s="35">
        <v>12.67</v>
      </c>
      <c r="O219" s="15" t="s">
        <v>632</v>
      </c>
      <c r="P219" s="22" t="s">
        <v>791</v>
      </c>
      <c r="Q219" s="9" t="s">
        <v>1187</v>
      </c>
      <c r="R219" s="9" t="s">
        <v>153</v>
      </c>
      <c r="S219" s="14">
        <f t="shared" si="20"/>
        <v>195</v>
      </c>
      <c r="T219" s="10">
        <v>102</v>
      </c>
    </row>
    <row r="220" spans="1:20" x14ac:dyDescent="0.2">
      <c r="A220" s="7" t="s">
        <v>551</v>
      </c>
      <c r="B220" s="10">
        <v>2015</v>
      </c>
      <c r="C220" s="9" t="s">
        <v>21</v>
      </c>
      <c r="D220" s="9" t="s">
        <v>4</v>
      </c>
      <c r="E220" s="9" t="s">
        <v>634</v>
      </c>
      <c r="F220" s="10">
        <v>154</v>
      </c>
      <c r="G220" s="9" t="s">
        <v>562</v>
      </c>
      <c r="H220" s="9">
        <f t="shared" si="16"/>
        <v>2020</v>
      </c>
      <c r="I220" s="9">
        <f t="shared" si="21"/>
        <v>11</v>
      </c>
      <c r="J220" s="9" t="s">
        <v>153</v>
      </c>
      <c r="K220" s="9" t="s">
        <v>153</v>
      </c>
      <c r="L220" s="9" t="s">
        <v>348</v>
      </c>
      <c r="M220" s="10">
        <v>3</v>
      </c>
      <c r="N220" s="35">
        <v>32.86</v>
      </c>
      <c r="O220" s="15" t="s">
        <v>632</v>
      </c>
      <c r="P220" s="22" t="s">
        <v>792</v>
      </c>
      <c r="Q220" s="9" t="s">
        <v>923</v>
      </c>
      <c r="R220" s="9" t="s">
        <v>153</v>
      </c>
      <c r="S220" s="14">
        <f t="shared" si="20"/>
        <v>83</v>
      </c>
      <c r="T220" s="10">
        <v>195</v>
      </c>
    </row>
    <row r="221" spans="1:20" x14ac:dyDescent="0.2">
      <c r="A221" s="7" t="s">
        <v>552</v>
      </c>
      <c r="B221" s="10">
        <v>2015</v>
      </c>
      <c r="C221" s="9" t="s">
        <v>21</v>
      </c>
      <c r="D221" s="9" t="s">
        <v>4</v>
      </c>
      <c r="E221" s="9" t="s">
        <v>634</v>
      </c>
      <c r="F221" s="10">
        <v>223</v>
      </c>
      <c r="G221" s="9" t="s">
        <v>563</v>
      </c>
      <c r="H221" s="9">
        <f t="shared" si="16"/>
        <v>2020</v>
      </c>
      <c r="I221" s="9">
        <f t="shared" si="21"/>
        <v>11</v>
      </c>
      <c r="J221" s="9" t="s">
        <v>153</v>
      </c>
      <c r="K221" s="9" t="s">
        <v>153</v>
      </c>
      <c r="L221" s="9" t="s">
        <v>348</v>
      </c>
      <c r="M221" s="10">
        <v>3</v>
      </c>
      <c r="N221" s="35">
        <v>59</v>
      </c>
      <c r="O221" s="15" t="s">
        <v>632</v>
      </c>
      <c r="P221" s="22" t="s">
        <v>793</v>
      </c>
      <c r="Q221" s="9" t="s">
        <v>442</v>
      </c>
      <c r="R221" s="9" t="s">
        <v>153</v>
      </c>
      <c r="S221" s="14">
        <f t="shared" si="20"/>
        <v>86</v>
      </c>
      <c r="T221" s="10">
        <v>36</v>
      </c>
    </row>
    <row r="222" spans="1:20" x14ac:dyDescent="0.2">
      <c r="A222" s="7" t="s">
        <v>553</v>
      </c>
      <c r="B222" s="10">
        <v>2012</v>
      </c>
      <c r="C222" s="9" t="s">
        <v>21</v>
      </c>
      <c r="D222" s="9" t="s">
        <v>4</v>
      </c>
      <c r="E222" s="9" t="s">
        <v>634</v>
      </c>
      <c r="F222" s="10">
        <v>270</v>
      </c>
      <c r="G222" s="9" t="s">
        <v>564</v>
      </c>
      <c r="H222" s="9">
        <f t="shared" si="16"/>
        <v>2020</v>
      </c>
      <c r="I222" s="9">
        <f t="shared" si="21"/>
        <v>11</v>
      </c>
      <c r="J222" s="9" t="s">
        <v>153</v>
      </c>
      <c r="K222" s="9" t="s">
        <v>153</v>
      </c>
      <c r="L222" s="9" t="s">
        <v>569</v>
      </c>
      <c r="M222" s="10">
        <v>2</v>
      </c>
      <c r="N222" s="35">
        <v>14.99</v>
      </c>
      <c r="O222" s="15" t="s">
        <v>632</v>
      </c>
      <c r="P222" s="22" t="s">
        <v>794</v>
      </c>
      <c r="Q222" s="9" t="s">
        <v>1187</v>
      </c>
      <c r="R222" s="9" t="s">
        <v>153</v>
      </c>
      <c r="S222" s="14">
        <f t="shared" si="20"/>
        <v>174</v>
      </c>
      <c r="T222" s="10">
        <v>260</v>
      </c>
    </row>
    <row r="223" spans="1:20" x14ac:dyDescent="0.2">
      <c r="A223" s="7" t="s">
        <v>554</v>
      </c>
      <c r="B223" s="10">
        <v>2014</v>
      </c>
      <c r="C223" s="9" t="s">
        <v>21</v>
      </c>
      <c r="D223" s="9" t="s">
        <v>4</v>
      </c>
      <c r="E223" s="9" t="s">
        <v>634</v>
      </c>
      <c r="F223" s="14">
        <v>184</v>
      </c>
      <c r="G223" s="9" t="s">
        <v>565</v>
      </c>
      <c r="H223" s="9">
        <f t="shared" si="16"/>
        <v>2020</v>
      </c>
      <c r="I223" s="9">
        <f t="shared" si="21"/>
        <v>11</v>
      </c>
      <c r="J223" s="9" t="s">
        <v>153</v>
      </c>
      <c r="K223" s="9" t="s">
        <v>153</v>
      </c>
      <c r="L223" s="9" t="s">
        <v>421</v>
      </c>
      <c r="M223" s="14">
        <v>3</v>
      </c>
      <c r="N223" s="35">
        <v>30.9</v>
      </c>
      <c r="O223" s="15" t="s">
        <v>632</v>
      </c>
      <c r="P223" s="22" t="s">
        <v>642</v>
      </c>
      <c r="Q223" s="9" t="s">
        <v>1187</v>
      </c>
      <c r="R223" s="9" t="s">
        <v>153</v>
      </c>
      <c r="S223" s="14">
        <f t="shared" si="20"/>
        <v>16</v>
      </c>
      <c r="T223" s="10">
        <v>212</v>
      </c>
    </row>
    <row r="224" spans="1:20" x14ac:dyDescent="0.2">
      <c r="A224" s="7" t="s">
        <v>556</v>
      </c>
      <c r="B224" s="10">
        <v>2018</v>
      </c>
      <c r="C224" s="9" t="s">
        <v>21</v>
      </c>
      <c r="D224" s="9" t="s">
        <v>4</v>
      </c>
      <c r="E224" s="9" t="s">
        <v>634</v>
      </c>
      <c r="F224" s="14">
        <v>435</v>
      </c>
      <c r="G224" s="9" t="s">
        <v>566</v>
      </c>
      <c r="H224" s="9">
        <f t="shared" si="16"/>
        <v>2020</v>
      </c>
      <c r="I224" s="9">
        <f t="shared" si="21"/>
        <v>12</v>
      </c>
      <c r="J224" s="9" t="s">
        <v>152</v>
      </c>
      <c r="K224" s="9" t="s">
        <v>152</v>
      </c>
      <c r="L224" s="9" t="s">
        <v>345</v>
      </c>
      <c r="M224" s="14">
        <v>5</v>
      </c>
      <c r="N224" s="35">
        <v>38</v>
      </c>
      <c r="O224" s="15" t="s">
        <v>632</v>
      </c>
      <c r="P224" s="22" t="s">
        <v>795</v>
      </c>
      <c r="Q224" s="9" t="s">
        <v>441</v>
      </c>
      <c r="R224" s="9" t="s">
        <v>153</v>
      </c>
      <c r="S224" s="14">
        <f t="shared" si="20"/>
        <v>77</v>
      </c>
      <c r="T224" s="10">
        <v>1247</v>
      </c>
    </row>
    <row r="225" spans="1:20" x14ac:dyDescent="0.2">
      <c r="A225" s="7" t="s">
        <v>577</v>
      </c>
      <c r="B225" s="10">
        <v>2016</v>
      </c>
      <c r="C225" s="9" t="s">
        <v>21</v>
      </c>
      <c r="D225" s="9" t="s">
        <v>4</v>
      </c>
      <c r="E225" s="9" t="s">
        <v>634</v>
      </c>
      <c r="F225" s="14">
        <v>18</v>
      </c>
      <c r="G225" s="9" t="s">
        <v>578</v>
      </c>
      <c r="H225" s="9">
        <f t="shared" si="16"/>
        <v>2021</v>
      </c>
      <c r="I225" s="9">
        <f t="shared" si="21"/>
        <v>2</v>
      </c>
      <c r="J225" s="9" t="s">
        <v>153</v>
      </c>
      <c r="K225" s="9" t="s">
        <v>153</v>
      </c>
      <c r="L225" s="9" t="s">
        <v>570</v>
      </c>
      <c r="M225" s="14">
        <v>1</v>
      </c>
      <c r="N225" s="35">
        <v>0</v>
      </c>
      <c r="O225" s="15" t="s">
        <v>632</v>
      </c>
      <c r="P225" s="37" t="s">
        <v>60</v>
      </c>
      <c r="Q225" s="9" t="s">
        <v>839</v>
      </c>
      <c r="R225" s="9" t="s">
        <v>153</v>
      </c>
      <c r="S225" s="14">
        <f t="shared" si="20"/>
        <v>8</v>
      </c>
      <c r="T225" s="10">
        <v>23</v>
      </c>
    </row>
    <row r="226" spans="1:20" x14ac:dyDescent="0.2">
      <c r="A226" s="7" t="s">
        <v>579</v>
      </c>
      <c r="B226" s="10">
        <v>2019</v>
      </c>
      <c r="C226" s="9" t="s">
        <v>21</v>
      </c>
      <c r="D226" s="9" t="s">
        <v>4</v>
      </c>
      <c r="E226" s="9" t="s">
        <v>634</v>
      </c>
      <c r="F226" s="14">
        <v>38</v>
      </c>
      <c r="G226" s="9" t="s">
        <v>578</v>
      </c>
      <c r="H226" s="9">
        <f t="shared" si="16"/>
        <v>2021</v>
      </c>
      <c r="I226" s="9">
        <f t="shared" si="21"/>
        <v>2</v>
      </c>
      <c r="J226" s="9" t="s">
        <v>153</v>
      </c>
      <c r="K226" s="9" t="s">
        <v>153</v>
      </c>
      <c r="L226" s="9" t="s">
        <v>350</v>
      </c>
      <c r="M226" s="14">
        <v>3</v>
      </c>
      <c r="N226" s="35">
        <v>0</v>
      </c>
      <c r="O226" s="15" t="s">
        <v>632</v>
      </c>
      <c r="P226" s="22" t="s">
        <v>796</v>
      </c>
      <c r="Q226" s="9" t="s">
        <v>441</v>
      </c>
      <c r="R226" s="9" t="s">
        <v>153</v>
      </c>
      <c r="S226" s="14">
        <f t="shared" si="20"/>
        <v>60</v>
      </c>
      <c r="T226" s="10">
        <v>33</v>
      </c>
    </row>
    <row r="227" spans="1:20" x14ac:dyDescent="0.2">
      <c r="A227" s="7" t="s">
        <v>580</v>
      </c>
      <c r="B227" s="10">
        <v>2018</v>
      </c>
      <c r="C227" s="9" t="s">
        <v>21</v>
      </c>
      <c r="D227" s="9" t="s">
        <v>4</v>
      </c>
      <c r="E227" s="9" t="s">
        <v>634</v>
      </c>
      <c r="F227" s="14">
        <v>45</v>
      </c>
      <c r="G227" s="9" t="s">
        <v>581</v>
      </c>
      <c r="H227" s="9">
        <f t="shared" si="16"/>
        <v>2021</v>
      </c>
      <c r="I227" s="9">
        <f t="shared" si="21"/>
        <v>2</v>
      </c>
      <c r="J227" s="9" t="s">
        <v>153</v>
      </c>
      <c r="K227" s="9" t="s">
        <v>153</v>
      </c>
      <c r="L227" s="9" t="s">
        <v>350</v>
      </c>
      <c r="M227" s="14">
        <v>2</v>
      </c>
      <c r="N227" s="35">
        <v>0</v>
      </c>
      <c r="O227" s="15" t="s">
        <v>632</v>
      </c>
      <c r="P227" s="22" t="s">
        <v>642</v>
      </c>
      <c r="Q227" s="9" t="s">
        <v>839</v>
      </c>
      <c r="R227" s="9" t="s">
        <v>153</v>
      </c>
      <c r="S227" s="14">
        <f t="shared" si="20"/>
        <v>16</v>
      </c>
      <c r="T227" s="10">
        <v>74</v>
      </c>
    </row>
    <row r="228" spans="1:20" ht="11.25" customHeight="1" x14ac:dyDescent="0.2">
      <c r="A228" s="7" t="s">
        <v>582</v>
      </c>
      <c r="B228" s="10">
        <v>2020</v>
      </c>
      <c r="C228" s="9" t="s">
        <v>21</v>
      </c>
      <c r="D228" s="9" t="s">
        <v>4</v>
      </c>
      <c r="E228" s="9" t="s">
        <v>634</v>
      </c>
      <c r="F228" s="14">
        <v>68</v>
      </c>
      <c r="G228" s="9" t="s">
        <v>581</v>
      </c>
      <c r="H228" s="9">
        <f t="shared" ref="H228:H229" si="22">YEAR(G228)</f>
        <v>2021</v>
      </c>
      <c r="I228" s="9">
        <f t="shared" ref="I228:I229" si="23">MONTH(G228)</f>
        <v>2</v>
      </c>
      <c r="J228" s="9" t="s">
        <v>153</v>
      </c>
      <c r="K228" s="9" t="s">
        <v>153</v>
      </c>
      <c r="L228" s="9" t="s">
        <v>350</v>
      </c>
      <c r="M228" s="14">
        <v>2</v>
      </c>
      <c r="N228" s="35">
        <v>0</v>
      </c>
      <c r="O228" s="15" t="s">
        <v>632</v>
      </c>
      <c r="P228" s="22" t="s">
        <v>797</v>
      </c>
      <c r="Q228" s="9" t="s">
        <v>839</v>
      </c>
      <c r="R228" s="9" t="s">
        <v>153</v>
      </c>
      <c r="S228" s="14">
        <f t="shared" si="20"/>
        <v>56</v>
      </c>
      <c r="T228" s="10">
        <v>112</v>
      </c>
    </row>
    <row r="229" spans="1:20" x14ac:dyDescent="0.2">
      <c r="A229" s="7" t="s">
        <v>583</v>
      </c>
      <c r="B229" s="10">
        <v>2019</v>
      </c>
      <c r="C229" s="9" t="s">
        <v>21</v>
      </c>
      <c r="D229" s="9" t="s">
        <v>4</v>
      </c>
      <c r="E229" s="9" t="s">
        <v>634</v>
      </c>
      <c r="F229" s="14">
        <v>44</v>
      </c>
      <c r="G229" s="9" t="s">
        <v>584</v>
      </c>
      <c r="H229" s="9">
        <f t="shared" si="22"/>
        <v>2021</v>
      </c>
      <c r="I229" s="9">
        <f t="shared" si="23"/>
        <v>2</v>
      </c>
      <c r="J229" s="9" t="s">
        <v>153</v>
      </c>
      <c r="K229" s="9" t="s">
        <v>153</v>
      </c>
      <c r="L229" s="9" t="s">
        <v>350</v>
      </c>
      <c r="M229" s="14">
        <v>2</v>
      </c>
      <c r="N229" s="35">
        <v>0</v>
      </c>
      <c r="O229" s="15" t="s">
        <v>632</v>
      </c>
      <c r="P229" s="22" t="s">
        <v>704</v>
      </c>
      <c r="Q229" s="9" t="s">
        <v>441</v>
      </c>
      <c r="R229" s="9" t="s">
        <v>153</v>
      </c>
      <c r="S229" s="14">
        <f t="shared" si="20"/>
        <v>15</v>
      </c>
      <c r="T229" s="10">
        <v>84</v>
      </c>
    </row>
    <row r="230" spans="1:20" x14ac:dyDescent="0.2">
      <c r="A230" s="7" t="s">
        <v>585</v>
      </c>
      <c r="B230" s="10">
        <v>2019</v>
      </c>
      <c r="C230" s="9" t="s">
        <v>21</v>
      </c>
      <c r="D230" s="9" t="s">
        <v>4</v>
      </c>
      <c r="E230" s="9" t="s">
        <v>634</v>
      </c>
      <c r="F230" s="14">
        <v>60</v>
      </c>
      <c r="G230" s="9" t="s">
        <v>584</v>
      </c>
      <c r="H230" s="9">
        <f t="shared" ref="H230" si="24">YEAR(G230)</f>
        <v>2021</v>
      </c>
      <c r="I230" s="9">
        <f t="shared" ref="I230" si="25">MONTH(G230)</f>
        <v>2</v>
      </c>
      <c r="J230" s="9" t="s">
        <v>153</v>
      </c>
      <c r="K230" s="9" t="s">
        <v>153</v>
      </c>
      <c r="L230" s="9" t="s">
        <v>350</v>
      </c>
      <c r="M230" s="14">
        <v>1</v>
      </c>
      <c r="N230" s="35">
        <v>0</v>
      </c>
      <c r="O230" s="15" t="s">
        <v>632</v>
      </c>
      <c r="P230" s="37" t="s">
        <v>60</v>
      </c>
      <c r="Q230" s="9" t="s">
        <v>1155</v>
      </c>
      <c r="R230" s="9" t="s">
        <v>153</v>
      </c>
      <c r="S230" s="14">
        <f t="shared" si="20"/>
        <v>8</v>
      </c>
      <c r="T230" s="10">
        <v>0</v>
      </c>
    </row>
    <row r="231" spans="1:20" x14ac:dyDescent="0.2">
      <c r="A231" s="7" t="s">
        <v>1189</v>
      </c>
      <c r="B231" s="10">
        <v>2019</v>
      </c>
      <c r="C231" s="9" t="s">
        <v>21</v>
      </c>
      <c r="D231" s="9" t="s">
        <v>4</v>
      </c>
      <c r="E231" s="9" t="s">
        <v>634</v>
      </c>
      <c r="F231" s="14">
        <v>60</v>
      </c>
      <c r="G231" s="9" t="s">
        <v>584</v>
      </c>
      <c r="H231" s="9">
        <f t="shared" ref="H231" si="26">YEAR(G231)</f>
        <v>2021</v>
      </c>
      <c r="I231" s="9">
        <f t="shared" ref="I231" si="27">MONTH(G231)</f>
        <v>2</v>
      </c>
      <c r="J231" s="9" t="s">
        <v>153</v>
      </c>
      <c r="K231" s="9" t="s">
        <v>153</v>
      </c>
      <c r="L231" s="9" t="s">
        <v>350</v>
      </c>
      <c r="M231" s="14">
        <v>3</v>
      </c>
      <c r="N231" s="35">
        <v>0</v>
      </c>
      <c r="O231" s="15" t="s">
        <v>632</v>
      </c>
      <c r="P231" s="22" t="s">
        <v>786</v>
      </c>
      <c r="Q231" s="9" t="s">
        <v>1188</v>
      </c>
      <c r="R231" s="9" t="s">
        <v>153</v>
      </c>
      <c r="S231" s="14">
        <f t="shared" si="20"/>
        <v>17</v>
      </c>
      <c r="T231" s="10">
        <v>392</v>
      </c>
    </row>
    <row r="232" spans="1:20" x14ac:dyDescent="0.2">
      <c r="A232" s="7" t="s">
        <v>586</v>
      </c>
      <c r="B232" s="10">
        <v>2018</v>
      </c>
      <c r="C232" s="9" t="s">
        <v>21</v>
      </c>
      <c r="D232" s="9" t="s">
        <v>4</v>
      </c>
      <c r="E232" s="9" t="s">
        <v>634</v>
      </c>
      <c r="F232" s="14">
        <v>411</v>
      </c>
      <c r="G232" s="9" t="s">
        <v>587</v>
      </c>
      <c r="H232" s="9">
        <f t="shared" ref="H232" si="28">YEAR(G232)</f>
        <v>2021</v>
      </c>
      <c r="I232" s="9">
        <f t="shared" ref="I232" si="29">MONTH(G232)</f>
        <v>2</v>
      </c>
      <c r="J232" s="9" t="s">
        <v>153</v>
      </c>
      <c r="K232" s="9" t="s">
        <v>153</v>
      </c>
      <c r="L232" s="9" t="s">
        <v>341</v>
      </c>
      <c r="M232" s="14">
        <v>2</v>
      </c>
      <c r="N232" s="35">
        <v>34.99</v>
      </c>
      <c r="O232" s="15" t="s">
        <v>632</v>
      </c>
      <c r="P232" s="22" t="s">
        <v>798</v>
      </c>
      <c r="Q232" s="9" t="s">
        <v>839</v>
      </c>
      <c r="R232" s="9" t="s">
        <v>152</v>
      </c>
      <c r="S232" s="14">
        <f t="shared" si="20"/>
        <v>119</v>
      </c>
      <c r="T232" s="10">
        <v>286</v>
      </c>
    </row>
    <row r="233" spans="1:20" x14ac:dyDescent="0.2">
      <c r="A233" s="7" t="s">
        <v>588</v>
      </c>
      <c r="B233" s="10">
        <v>2015</v>
      </c>
      <c r="C233" s="9" t="s">
        <v>21</v>
      </c>
      <c r="D233" s="9" t="s">
        <v>4</v>
      </c>
      <c r="E233" s="9" t="s">
        <v>634</v>
      </c>
      <c r="F233" s="14">
        <v>426</v>
      </c>
      <c r="G233" s="9" t="s">
        <v>587</v>
      </c>
      <c r="H233" s="9">
        <f t="shared" ref="H233" si="30">YEAR(G233)</f>
        <v>2021</v>
      </c>
      <c r="I233" s="9">
        <f t="shared" ref="I233" si="31">MONTH(G233)</f>
        <v>2</v>
      </c>
      <c r="J233" s="9" t="s">
        <v>153</v>
      </c>
      <c r="K233" s="9" t="s">
        <v>153</v>
      </c>
      <c r="L233" s="9" t="s">
        <v>341</v>
      </c>
      <c r="M233" s="14">
        <v>2</v>
      </c>
      <c r="N233" s="35">
        <v>44.99</v>
      </c>
      <c r="O233" s="15" t="s">
        <v>632</v>
      </c>
      <c r="P233" s="22" t="s">
        <v>799</v>
      </c>
      <c r="Q233" s="9" t="s">
        <v>839</v>
      </c>
      <c r="R233" s="9" t="s">
        <v>152</v>
      </c>
      <c r="S233" s="14">
        <f t="shared" si="20"/>
        <v>41</v>
      </c>
      <c r="T233" s="10">
        <v>84</v>
      </c>
    </row>
    <row r="234" spans="1:20" x14ac:dyDescent="0.2">
      <c r="A234" s="7" t="s">
        <v>589</v>
      </c>
      <c r="B234" s="10">
        <v>2019</v>
      </c>
      <c r="C234" s="9" t="s">
        <v>21</v>
      </c>
      <c r="D234" s="9" t="s">
        <v>4</v>
      </c>
      <c r="E234" s="9" t="s">
        <v>634</v>
      </c>
      <c r="F234" s="14">
        <v>57</v>
      </c>
      <c r="G234" s="9" t="s">
        <v>590</v>
      </c>
      <c r="H234" s="9">
        <f t="shared" ref="H234:H235" si="32">YEAR(G234)</f>
        <v>2021</v>
      </c>
      <c r="I234" s="9">
        <f t="shared" ref="I234:I235" si="33">MONTH(G234)</f>
        <v>2</v>
      </c>
      <c r="J234" s="9" t="s">
        <v>153</v>
      </c>
      <c r="K234" s="9" t="s">
        <v>153</v>
      </c>
      <c r="L234" s="9" t="s">
        <v>350</v>
      </c>
      <c r="M234" s="14">
        <v>2</v>
      </c>
      <c r="N234" s="35">
        <v>0</v>
      </c>
      <c r="O234" s="15" t="s">
        <v>632</v>
      </c>
      <c r="P234" s="22" t="s">
        <v>642</v>
      </c>
      <c r="Q234" s="9" t="s">
        <v>839</v>
      </c>
      <c r="R234" s="9" t="s">
        <v>152</v>
      </c>
      <c r="S234" s="14">
        <f t="shared" si="20"/>
        <v>16</v>
      </c>
      <c r="T234" s="10">
        <v>65</v>
      </c>
    </row>
    <row r="235" spans="1:20" x14ac:dyDescent="0.2">
      <c r="A235" s="7" t="s">
        <v>591</v>
      </c>
      <c r="B235" s="10">
        <v>2019</v>
      </c>
      <c r="C235" s="9" t="s">
        <v>21</v>
      </c>
      <c r="D235" s="9" t="s">
        <v>4</v>
      </c>
      <c r="E235" s="9" t="s">
        <v>634</v>
      </c>
      <c r="F235" s="14">
        <v>47</v>
      </c>
      <c r="G235" s="9" t="s">
        <v>590</v>
      </c>
      <c r="H235" s="9">
        <f t="shared" si="32"/>
        <v>2021</v>
      </c>
      <c r="I235" s="9">
        <f t="shared" si="33"/>
        <v>2</v>
      </c>
      <c r="J235" s="9" t="s">
        <v>153</v>
      </c>
      <c r="K235" s="9" t="s">
        <v>153</v>
      </c>
      <c r="L235" s="9" t="s">
        <v>350</v>
      </c>
      <c r="M235" s="14">
        <v>4</v>
      </c>
      <c r="N235" s="35">
        <v>0</v>
      </c>
      <c r="O235" s="15" t="s">
        <v>632</v>
      </c>
      <c r="P235" s="22" t="s">
        <v>800</v>
      </c>
      <c r="Q235" s="9" t="s">
        <v>441</v>
      </c>
      <c r="R235" s="9" t="s">
        <v>152</v>
      </c>
      <c r="S235" s="14">
        <f t="shared" si="20"/>
        <v>59</v>
      </c>
      <c r="T235" s="10">
        <v>43</v>
      </c>
    </row>
    <row r="236" spans="1:20" x14ac:dyDescent="0.2">
      <c r="A236" s="7" t="s">
        <v>592</v>
      </c>
      <c r="B236" s="10">
        <v>2020</v>
      </c>
      <c r="C236" s="9" t="s">
        <v>21</v>
      </c>
      <c r="D236" s="9" t="s">
        <v>4</v>
      </c>
      <c r="E236" s="9" t="s">
        <v>634</v>
      </c>
      <c r="F236" s="14">
        <v>75</v>
      </c>
      <c r="G236" s="9" t="s">
        <v>593</v>
      </c>
      <c r="H236" s="9">
        <f t="shared" ref="H236" si="34">YEAR(G236)</f>
        <v>2021</v>
      </c>
      <c r="I236" s="9">
        <f t="shared" ref="I236" si="35">MONTH(G236)</f>
        <v>2</v>
      </c>
      <c r="J236" s="9" t="s">
        <v>153</v>
      </c>
      <c r="K236" s="9" t="s">
        <v>153</v>
      </c>
      <c r="L236" s="9" t="s">
        <v>350</v>
      </c>
      <c r="M236" s="14">
        <v>2</v>
      </c>
      <c r="N236" s="35">
        <v>0</v>
      </c>
      <c r="O236" s="15" t="s">
        <v>632</v>
      </c>
      <c r="P236" s="37" t="s">
        <v>60</v>
      </c>
      <c r="Q236" s="9" t="s">
        <v>839</v>
      </c>
      <c r="R236" s="9" t="s">
        <v>153</v>
      </c>
      <c r="S236" s="14">
        <f t="shared" si="20"/>
        <v>8</v>
      </c>
      <c r="T236" s="10">
        <v>0</v>
      </c>
    </row>
    <row r="237" spans="1:20" x14ac:dyDescent="0.2">
      <c r="A237" s="7" t="s">
        <v>617</v>
      </c>
      <c r="B237" s="10">
        <v>2016</v>
      </c>
      <c r="C237" s="9" t="s">
        <v>21</v>
      </c>
      <c r="D237" s="9" t="s">
        <v>4</v>
      </c>
      <c r="E237" s="9" t="s">
        <v>634</v>
      </c>
      <c r="F237" s="14">
        <v>562</v>
      </c>
      <c r="G237" s="9" t="s">
        <v>618</v>
      </c>
      <c r="H237" s="9">
        <f t="shared" ref="H237:H263" si="36">YEAR(G237)</f>
        <v>2021</v>
      </c>
      <c r="I237" s="9">
        <f t="shared" ref="I237:I263" si="37">MONTH(G237)</f>
        <v>3</v>
      </c>
      <c r="J237" s="9" t="s">
        <v>153</v>
      </c>
      <c r="K237" s="9" t="s">
        <v>153</v>
      </c>
      <c r="L237" s="9" t="s">
        <v>363</v>
      </c>
      <c r="M237" s="10">
        <v>3</v>
      </c>
      <c r="N237" s="35">
        <v>39.950000000000003</v>
      </c>
      <c r="O237" s="15" t="s">
        <v>632</v>
      </c>
      <c r="P237" s="22" t="s">
        <v>801</v>
      </c>
      <c r="Q237" s="9" t="s">
        <v>538</v>
      </c>
      <c r="R237" s="9" t="s">
        <v>152</v>
      </c>
      <c r="S237" s="14">
        <f t="shared" ref="S237:S294" si="38">LEN(P237)</f>
        <v>54</v>
      </c>
      <c r="T237" s="10">
        <v>449</v>
      </c>
    </row>
    <row r="238" spans="1:20" x14ac:dyDescent="0.2">
      <c r="A238" s="7" t="s">
        <v>619</v>
      </c>
      <c r="B238" s="10">
        <v>2020</v>
      </c>
      <c r="C238" s="9" t="s">
        <v>21</v>
      </c>
      <c r="D238" s="9" t="s">
        <v>4</v>
      </c>
      <c r="E238" s="9" t="s">
        <v>634</v>
      </c>
      <c r="F238" s="14">
        <v>50</v>
      </c>
      <c r="G238" s="9" t="s">
        <v>618</v>
      </c>
      <c r="H238" s="9">
        <f t="shared" si="36"/>
        <v>2021</v>
      </c>
      <c r="I238" s="9">
        <f t="shared" si="37"/>
        <v>3</v>
      </c>
      <c r="J238" s="9" t="s">
        <v>153</v>
      </c>
      <c r="K238" s="9" t="s">
        <v>153</v>
      </c>
      <c r="L238" s="9" t="s">
        <v>341</v>
      </c>
      <c r="M238" s="10">
        <v>1</v>
      </c>
      <c r="N238" s="35">
        <v>49.99</v>
      </c>
      <c r="O238" s="15" t="s">
        <v>632</v>
      </c>
      <c r="P238" s="22" t="s">
        <v>802</v>
      </c>
      <c r="Q238" s="9" t="s">
        <v>538</v>
      </c>
      <c r="R238" s="9" t="s">
        <v>152</v>
      </c>
      <c r="S238" s="14">
        <f t="shared" si="38"/>
        <v>417</v>
      </c>
      <c r="T238" s="10">
        <v>0</v>
      </c>
    </row>
    <row r="239" spans="1:20" x14ac:dyDescent="0.2">
      <c r="A239" s="7" t="s">
        <v>1153</v>
      </c>
      <c r="B239" s="10">
        <v>2009</v>
      </c>
      <c r="C239" s="9" t="s">
        <v>21</v>
      </c>
      <c r="D239" s="9" t="s">
        <v>4</v>
      </c>
      <c r="E239" s="9" t="s">
        <v>634</v>
      </c>
      <c r="F239" s="14">
        <v>206</v>
      </c>
      <c r="G239" s="9" t="s">
        <v>1152</v>
      </c>
      <c r="H239" s="9">
        <f t="shared" si="36"/>
        <v>2021</v>
      </c>
      <c r="I239" s="9">
        <f t="shared" si="37"/>
        <v>8</v>
      </c>
      <c r="J239" s="9" t="s">
        <v>153</v>
      </c>
      <c r="K239" s="9" t="s">
        <v>153</v>
      </c>
      <c r="L239" s="9" t="s">
        <v>343</v>
      </c>
      <c r="M239" s="10">
        <v>2</v>
      </c>
      <c r="N239" s="35">
        <v>59.99</v>
      </c>
      <c r="O239" s="15" t="s">
        <v>632</v>
      </c>
      <c r="P239" s="22" t="s">
        <v>1146</v>
      </c>
      <c r="Q239" s="9" t="s">
        <v>442</v>
      </c>
      <c r="R239" s="9" t="s">
        <v>153</v>
      </c>
      <c r="S239" s="14">
        <f t="shared" si="38"/>
        <v>72</v>
      </c>
      <c r="T239" s="10">
        <v>206</v>
      </c>
    </row>
    <row r="240" spans="1:20" x14ac:dyDescent="0.2">
      <c r="A240" s="7" t="s">
        <v>252</v>
      </c>
      <c r="B240" s="10">
        <v>2007</v>
      </c>
      <c r="C240" s="9" t="s">
        <v>21</v>
      </c>
      <c r="D240" s="9" t="s">
        <v>4</v>
      </c>
      <c r="E240" s="9" t="s">
        <v>634</v>
      </c>
      <c r="F240" s="14">
        <v>360</v>
      </c>
      <c r="G240" s="9" t="s">
        <v>620</v>
      </c>
      <c r="H240" s="9">
        <f t="shared" si="36"/>
        <v>2022</v>
      </c>
      <c r="I240" s="9">
        <f t="shared" si="37"/>
        <v>9</v>
      </c>
      <c r="J240" s="9" t="s">
        <v>153</v>
      </c>
      <c r="K240" s="9" t="s">
        <v>152</v>
      </c>
      <c r="L240" s="9" t="s">
        <v>343</v>
      </c>
      <c r="M240" s="10">
        <v>3</v>
      </c>
      <c r="N240" s="35">
        <v>49.99</v>
      </c>
      <c r="O240" s="15" t="s">
        <v>632</v>
      </c>
      <c r="P240" s="22" t="s">
        <v>803</v>
      </c>
      <c r="Q240" s="9" t="s">
        <v>1199</v>
      </c>
      <c r="R240" s="9" t="s">
        <v>153</v>
      </c>
      <c r="S240" s="14">
        <f t="shared" si="38"/>
        <v>99</v>
      </c>
      <c r="T240" s="10">
        <v>1602</v>
      </c>
    </row>
    <row r="241" spans="1:20" x14ac:dyDescent="0.2">
      <c r="A241" s="7" t="s">
        <v>621</v>
      </c>
      <c r="B241" s="10">
        <v>2020</v>
      </c>
      <c r="C241" s="9" t="s">
        <v>21</v>
      </c>
      <c r="D241" s="9" t="s">
        <v>24</v>
      </c>
      <c r="E241" s="9" t="s">
        <v>635</v>
      </c>
      <c r="F241" s="14">
        <v>139</v>
      </c>
      <c r="G241" s="9" t="s">
        <v>622</v>
      </c>
      <c r="H241" s="9">
        <f t="shared" si="36"/>
        <v>2023</v>
      </c>
      <c r="I241" s="9">
        <f t="shared" si="37"/>
        <v>3</v>
      </c>
      <c r="J241" s="9" t="s">
        <v>153</v>
      </c>
      <c r="K241" s="9" t="s">
        <v>153</v>
      </c>
      <c r="L241" s="9" t="s">
        <v>623</v>
      </c>
      <c r="M241" s="10">
        <v>2</v>
      </c>
      <c r="N241" s="35">
        <v>5</v>
      </c>
      <c r="O241" s="15" t="s">
        <v>632</v>
      </c>
      <c r="P241" s="22" t="s">
        <v>804</v>
      </c>
      <c r="Q241" s="9" t="s">
        <v>442</v>
      </c>
      <c r="R241" s="9" t="s">
        <v>153</v>
      </c>
      <c r="S241" s="14">
        <f t="shared" si="38"/>
        <v>136</v>
      </c>
      <c r="T241" s="10">
        <v>258</v>
      </c>
    </row>
    <row r="242" spans="1:20" x14ac:dyDescent="0.2">
      <c r="A242" s="7" t="s">
        <v>823</v>
      </c>
      <c r="B242" s="10">
        <v>2020</v>
      </c>
      <c r="C242" s="9" t="s">
        <v>21</v>
      </c>
      <c r="D242" s="9" t="s">
        <v>24</v>
      </c>
      <c r="E242" s="9" t="s">
        <v>635</v>
      </c>
      <c r="F242" s="14">
        <v>139</v>
      </c>
      <c r="G242" s="9" t="s">
        <v>824</v>
      </c>
      <c r="H242" s="9">
        <f t="shared" si="36"/>
        <v>2023</v>
      </c>
      <c r="I242" s="9">
        <f t="shared" si="37"/>
        <v>6</v>
      </c>
      <c r="J242" s="9" t="s">
        <v>153</v>
      </c>
      <c r="K242" s="9" t="s">
        <v>153</v>
      </c>
      <c r="L242" s="9" t="s">
        <v>623</v>
      </c>
      <c r="M242" s="10">
        <v>2</v>
      </c>
      <c r="N242" s="35">
        <v>5</v>
      </c>
      <c r="O242" s="15" t="s">
        <v>632</v>
      </c>
      <c r="P242" s="22" t="s">
        <v>825</v>
      </c>
      <c r="Q242" s="9" t="s">
        <v>1199</v>
      </c>
      <c r="R242" s="9" t="s">
        <v>153</v>
      </c>
      <c r="S242" s="14">
        <f t="shared" si="38"/>
        <v>68</v>
      </c>
      <c r="T242" s="10">
        <v>372</v>
      </c>
    </row>
    <row r="243" spans="1:20" x14ac:dyDescent="0.2">
      <c r="A243" s="7" t="s">
        <v>808</v>
      </c>
      <c r="B243" s="10">
        <v>2021</v>
      </c>
      <c r="C243" s="9" t="s">
        <v>21</v>
      </c>
      <c r="D243" s="9" t="s">
        <v>4</v>
      </c>
      <c r="E243" s="9" t="s">
        <v>634</v>
      </c>
      <c r="F243" s="14">
        <v>91</v>
      </c>
      <c r="G243" s="9" t="s">
        <v>809</v>
      </c>
      <c r="H243" s="9">
        <f t="shared" si="36"/>
        <v>2023</v>
      </c>
      <c r="I243" s="9">
        <f t="shared" si="37"/>
        <v>6</v>
      </c>
      <c r="J243" s="9" t="s">
        <v>153</v>
      </c>
      <c r="K243" s="9" t="s">
        <v>152</v>
      </c>
      <c r="L243" s="9" t="s">
        <v>345</v>
      </c>
      <c r="M243" s="10">
        <v>2</v>
      </c>
      <c r="N243" s="35">
        <v>47.99</v>
      </c>
      <c r="O243" s="9" t="s">
        <v>632</v>
      </c>
      <c r="P243" s="22" t="s">
        <v>810</v>
      </c>
      <c r="Q243" s="9" t="s">
        <v>538</v>
      </c>
      <c r="R243" s="9" t="s">
        <v>153</v>
      </c>
      <c r="S243" s="14">
        <f t="shared" si="38"/>
        <v>37</v>
      </c>
      <c r="T243" s="10">
        <v>168</v>
      </c>
    </row>
    <row r="244" spans="1:20" x14ac:dyDescent="0.2">
      <c r="A244" s="7" t="s">
        <v>811</v>
      </c>
      <c r="B244" s="10">
        <v>2021</v>
      </c>
      <c r="C244" s="9" t="s">
        <v>21</v>
      </c>
      <c r="D244" s="9" t="s">
        <v>4</v>
      </c>
      <c r="E244" s="9" t="s">
        <v>634</v>
      </c>
      <c r="F244" s="14">
        <v>19</v>
      </c>
      <c r="G244" s="9" t="s">
        <v>809</v>
      </c>
      <c r="H244" s="9">
        <f t="shared" si="36"/>
        <v>2023</v>
      </c>
      <c r="I244" s="9">
        <f t="shared" si="37"/>
        <v>6</v>
      </c>
      <c r="J244" s="9" t="s">
        <v>153</v>
      </c>
      <c r="K244" s="9" t="s">
        <v>153</v>
      </c>
      <c r="L244" s="9" t="s">
        <v>812</v>
      </c>
      <c r="M244" s="10">
        <v>1</v>
      </c>
      <c r="N244" s="35">
        <v>0</v>
      </c>
      <c r="O244" s="9" t="s">
        <v>632</v>
      </c>
      <c r="P244" s="22" t="s">
        <v>813</v>
      </c>
      <c r="Q244" s="9" t="s">
        <v>1199</v>
      </c>
      <c r="R244" s="9" t="s">
        <v>153</v>
      </c>
      <c r="S244" s="14">
        <f t="shared" si="38"/>
        <v>78</v>
      </c>
      <c r="T244" s="10">
        <v>91</v>
      </c>
    </row>
    <row r="245" spans="1:20" x14ac:dyDescent="0.2">
      <c r="A245" s="7" t="s">
        <v>814</v>
      </c>
      <c r="B245" s="10">
        <v>2014</v>
      </c>
      <c r="C245" s="9" t="s">
        <v>21</v>
      </c>
      <c r="D245" s="9" t="s">
        <v>4</v>
      </c>
      <c r="E245" s="9" t="s">
        <v>634</v>
      </c>
      <c r="F245" s="14">
        <v>59</v>
      </c>
      <c r="G245" s="9" t="s">
        <v>809</v>
      </c>
      <c r="H245" s="9">
        <f t="shared" si="36"/>
        <v>2023</v>
      </c>
      <c r="I245" s="9">
        <f t="shared" si="37"/>
        <v>6</v>
      </c>
      <c r="J245" s="9" t="s">
        <v>153</v>
      </c>
      <c r="K245" s="9" t="s">
        <v>153</v>
      </c>
      <c r="L245" s="9" t="s">
        <v>343</v>
      </c>
      <c r="M245" s="14">
        <v>1</v>
      </c>
      <c r="N245" s="35">
        <v>29.99</v>
      </c>
      <c r="O245" s="9" t="s">
        <v>632</v>
      </c>
      <c r="P245" s="22" t="s">
        <v>60</v>
      </c>
      <c r="Q245" s="9" t="s">
        <v>442</v>
      </c>
      <c r="R245" s="9" t="s">
        <v>153</v>
      </c>
      <c r="S245" s="14">
        <f t="shared" si="38"/>
        <v>8</v>
      </c>
      <c r="T245" s="10">
        <v>33</v>
      </c>
    </row>
    <row r="246" spans="1:20" x14ac:dyDescent="0.2">
      <c r="A246" s="7" t="s">
        <v>815</v>
      </c>
      <c r="B246" s="10">
        <v>2023</v>
      </c>
      <c r="C246" s="9" t="s">
        <v>21</v>
      </c>
      <c r="D246" s="9" t="s">
        <v>4</v>
      </c>
      <c r="E246" s="9" t="s">
        <v>634</v>
      </c>
      <c r="F246" s="14">
        <v>25</v>
      </c>
      <c r="G246" s="9" t="s">
        <v>809</v>
      </c>
      <c r="H246" s="9">
        <f t="shared" si="36"/>
        <v>2023</v>
      </c>
      <c r="I246" s="9">
        <f t="shared" si="37"/>
        <v>6</v>
      </c>
      <c r="J246" s="9" t="s">
        <v>153</v>
      </c>
      <c r="K246" s="9" t="s">
        <v>153</v>
      </c>
      <c r="L246" s="9" t="s">
        <v>570</v>
      </c>
      <c r="M246" s="14">
        <v>3</v>
      </c>
      <c r="N246" s="35">
        <v>0</v>
      </c>
      <c r="O246" s="9" t="s">
        <v>632</v>
      </c>
      <c r="P246" s="22" t="s">
        <v>58</v>
      </c>
      <c r="Q246" s="9" t="s">
        <v>1199</v>
      </c>
      <c r="R246" s="9" t="s">
        <v>153</v>
      </c>
      <c r="S246" s="14">
        <f t="shared" si="38"/>
        <v>7</v>
      </c>
      <c r="T246" s="10">
        <v>125</v>
      </c>
    </row>
    <row r="247" spans="1:20" x14ac:dyDescent="0.2">
      <c r="A247" s="7" t="s">
        <v>816</v>
      </c>
      <c r="B247" s="10">
        <v>2021</v>
      </c>
      <c r="C247" s="9" t="s">
        <v>21</v>
      </c>
      <c r="D247" s="9" t="s">
        <v>4</v>
      </c>
      <c r="E247" s="9" t="s">
        <v>635</v>
      </c>
      <c r="F247" s="14">
        <v>151</v>
      </c>
      <c r="G247" s="9" t="s">
        <v>809</v>
      </c>
      <c r="H247" s="9">
        <f t="shared" si="36"/>
        <v>2023</v>
      </c>
      <c r="I247" s="9">
        <f t="shared" si="37"/>
        <v>6</v>
      </c>
      <c r="J247" s="9" t="s">
        <v>153</v>
      </c>
      <c r="K247" s="9" t="s">
        <v>153</v>
      </c>
      <c r="L247" s="9" t="s">
        <v>817</v>
      </c>
      <c r="M247" s="14">
        <v>3</v>
      </c>
      <c r="N247" s="35">
        <v>26.35</v>
      </c>
      <c r="O247" s="9" t="s">
        <v>632</v>
      </c>
      <c r="P247" s="22" t="s">
        <v>642</v>
      </c>
      <c r="Q247" s="9" t="s">
        <v>1187</v>
      </c>
      <c r="R247" s="9" t="s">
        <v>153</v>
      </c>
      <c r="S247" s="14">
        <f t="shared" si="38"/>
        <v>16</v>
      </c>
      <c r="T247" s="10">
        <v>109</v>
      </c>
    </row>
    <row r="248" spans="1:20" x14ac:dyDescent="0.2">
      <c r="A248" s="7" t="s">
        <v>818</v>
      </c>
      <c r="B248" s="10">
        <v>2020</v>
      </c>
      <c r="C248" s="9" t="s">
        <v>21</v>
      </c>
      <c r="D248" s="9" t="s">
        <v>4</v>
      </c>
      <c r="E248" s="9" t="s">
        <v>634</v>
      </c>
      <c r="F248" s="10">
        <v>75</v>
      </c>
      <c r="G248" s="9" t="s">
        <v>819</v>
      </c>
      <c r="H248" s="9">
        <f t="shared" si="36"/>
        <v>2023</v>
      </c>
      <c r="I248" s="9">
        <f t="shared" si="37"/>
        <v>6</v>
      </c>
      <c r="J248" s="9" t="s">
        <v>153</v>
      </c>
      <c r="K248" s="9" t="s">
        <v>153</v>
      </c>
      <c r="L248" s="9" t="s">
        <v>570</v>
      </c>
      <c r="M248" s="10">
        <v>2</v>
      </c>
      <c r="N248" s="35">
        <v>0</v>
      </c>
      <c r="O248" s="9" t="s">
        <v>632</v>
      </c>
      <c r="P248" s="22" t="s">
        <v>642</v>
      </c>
      <c r="Q248" s="9" t="s">
        <v>538</v>
      </c>
      <c r="R248" s="9" t="s">
        <v>153</v>
      </c>
      <c r="S248" s="14">
        <f t="shared" si="38"/>
        <v>16</v>
      </c>
      <c r="T248" s="10">
        <v>253</v>
      </c>
    </row>
    <row r="249" spans="1:20" x14ac:dyDescent="0.2">
      <c r="A249" s="7" t="s">
        <v>820</v>
      </c>
      <c r="B249" s="10">
        <v>2023</v>
      </c>
      <c r="C249" s="9" t="s">
        <v>21</v>
      </c>
      <c r="D249" s="9" t="s">
        <v>4</v>
      </c>
      <c r="E249" s="9" t="s">
        <v>634</v>
      </c>
      <c r="F249" s="10">
        <v>83</v>
      </c>
      <c r="G249" s="9" t="s">
        <v>819</v>
      </c>
      <c r="H249" s="9">
        <f t="shared" si="36"/>
        <v>2023</v>
      </c>
      <c r="I249" s="9">
        <f t="shared" si="37"/>
        <v>6</v>
      </c>
      <c r="J249" s="9" t="s">
        <v>153</v>
      </c>
      <c r="K249" s="9" t="s">
        <v>153</v>
      </c>
      <c r="L249" s="9" t="s">
        <v>821</v>
      </c>
      <c r="M249" s="10">
        <v>1</v>
      </c>
      <c r="N249" s="35">
        <v>12.71</v>
      </c>
      <c r="O249" s="9" t="s">
        <v>632</v>
      </c>
      <c r="P249" s="22" t="s">
        <v>822</v>
      </c>
      <c r="Q249" s="9" t="s">
        <v>538</v>
      </c>
      <c r="R249" s="9" t="s">
        <v>153</v>
      </c>
      <c r="S249" s="14">
        <f t="shared" si="38"/>
        <v>91</v>
      </c>
      <c r="T249" s="10">
        <v>0</v>
      </c>
    </row>
    <row r="250" spans="1:20" x14ac:dyDescent="0.2">
      <c r="A250" s="7" t="s">
        <v>827</v>
      </c>
      <c r="B250" s="10">
        <v>2019</v>
      </c>
      <c r="C250" s="9" t="s">
        <v>21</v>
      </c>
      <c r="D250" s="9" t="s">
        <v>4</v>
      </c>
      <c r="E250" s="9" t="s">
        <v>634</v>
      </c>
      <c r="F250" s="10">
        <v>175</v>
      </c>
      <c r="G250" s="9" t="s">
        <v>828</v>
      </c>
      <c r="H250" s="9">
        <f t="shared" si="36"/>
        <v>2023</v>
      </c>
      <c r="I250" s="9">
        <f t="shared" si="37"/>
        <v>8</v>
      </c>
      <c r="J250" s="9" t="s">
        <v>153</v>
      </c>
      <c r="K250" s="9" t="s">
        <v>153</v>
      </c>
      <c r="L250" s="9" t="s">
        <v>570</v>
      </c>
      <c r="M250" s="10">
        <v>3</v>
      </c>
      <c r="N250" s="35">
        <v>29.9</v>
      </c>
      <c r="O250" s="9" t="s">
        <v>632</v>
      </c>
      <c r="P250" s="22" t="s">
        <v>829</v>
      </c>
      <c r="Q250" s="9" t="s">
        <v>538</v>
      </c>
      <c r="R250" s="9" t="s">
        <v>153</v>
      </c>
      <c r="S250" s="14">
        <f t="shared" si="38"/>
        <v>33</v>
      </c>
      <c r="T250" s="10">
        <v>482</v>
      </c>
    </row>
    <row r="251" spans="1:20" x14ac:dyDescent="0.2">
      <c r="A251" s="7" t="s">
        <v>830</v>
      </c>
      <c r="B251" s="10">
        <v>2015</v>
      </c>
      <c r="C251" s="9" t="s">
        <v>21</v>
      </c>
      <c r="D251" s="9" t="s">
        <v>4</v>
      </c>
      <c r="E251" s="9" t="s">
        <v>634</v>
      </c>
      <c r="F251" s="10">
        <v>766</v>
      </c>
      <c r="G251" s="9" t="s">
        <v>828</v>
      </c>
      <c r="H251" s="9">
        <f t="shared" si="36"/>
        <v>2023</v>
      </c>
      <c r="I251" s="9">
        <f t="shared" si="37"/>
        <v>8</v>
      </c>
      <c r="J251" s="9" t="s">
        <v>153</v>
      </c>
      <c r="K251" s="9" t="s">
        <v>153</v>
      </c>
      <c r="L251" s="9" t="s">
        <v>343</v>
      </c>
      <c r="M251" s="10">
        <v>1</v>
      </c>
      <c r="N251" s="35">
        <v>49.99</v>
      </c>
      <c r="O251" s="9" t="s">
        <v>632</v>
      </c>
      <c r="P251" s="12" t="s">
        <v>831</v>
      </c>
      <c r="Q251" s="9" t="s">
        <v>538</v>
      </c>
      <c r="R251" s="9" t="s">
        <v>153</v>
      </c>
      <c r="S251" s="14">
        <f t="shared" si="38"/>
        <v>325</v>
      </c>
      <c r="T251" s="10">
        <v>284</v>
      </c>
    </row>
    <row r="252" spans="1:20" x14ac:dyDescent="0.2">
      <c r="A252" s="7" t="s">
        <v>832</v>
      </c>
      <c r="B252" s="10">
        <v>2023</v>
      </c>
      <c r="C252" s="9" t="s">
        <v>21</v>
      </c>
      <c r="D252" s="9" t="s">
        <v>4</v>
      </c>
      <c r="E252" s="9" t="s">
        <v>634</v>
      </c>
      <c r="F252" s="10">
        <v>42</v>
      </c>
      <c r="G252" s="9" t="s">
        <v>833</v>
      </c>
      <c r="H252" s="9">
        <f t="shared" si="36"/>
        <v>2023</v>
      </c>
      <c r="I252" s="9">
        <f t="shared" si="37"/>
        <v>8</v>
      </c>
      <c r="J252" s="9" t="s">
        <v>153</v>
      </c>
      <c r="K252" s="9" t="s">
        <v>153</v>
      </c>
      <c r="L252" s="9" t="s">
        <v>834</v>
      </c>
      <c r="M252" s="10">
        <v>1</v>
      </c>
      <c r="N252" s="35">
        <v>0</v>
      </c>
      <c r="O252" s="9" t="s">
        <v>632</v>
      </c>
      <c r="P252" s="22" t="s">
        <v>835</v>
      </c>
      <c r="Q252" s="9" t="s">
        <v>1199</v>
      </c>
      <c r="R252" s="9" t="s">
        <v>153</v>
      </c>
      <c r="S252" s="14">
        <f t="shared" si="38"/>
        <v>43</v>
      </c>
      <c r="T252" s="10">
        <v>0</v>
      </c>
    </row>
    <row r="253" spans="1:20" x14ac:dyDescent="0.2">
      <c r="A253" s="7" t="s">
        <v>836</v>
      </c>
      <c r="B253" s="14">
        <v>2022</v>
      </c>
      <c r="C253" s="9" t="s">
        <v>21</v>
      </c>
      <c r="D253" s="9" t="s">
        <v>4</v>
      </c>
      <c r="E253" s="9" t="s">
        <v>634</v>
      </c>
      <c r="F253" s="10">
        <v>187</v>
      </c>
      <c r="G253" s="9" t="s">
        <v>837</v>
      </c>
      <c r="H253" s="9">
        <f t="shared" si="36"/>
        <v>2023</v>
      </c>
      <c r="I253" s="9">
        <f t="shared" si="37"/>
        <v>8</v>
      </c>
      <c r="J253" s="9" t="s">
        <v>153</v>
      </c>
      <c r="K253" s="9" t="s">
        <v>153</v>
      </c>
      <c r="L253" s="9" t="s">
        <v>345</v>
      </c>
      <c r="M253" s="10">
        <v>2</v>
      </c>
      <c r="N253" s="35">
        <v>49.99</v>
      </c>
      <c r="O253" s="9" t="s">
        <v>632</v>
      </c>
      <c r="P253" s="7" t="s">
        <v>838</v>
      </c>
      <c r="Q253" s="9" t="s">
        <v>538</v>
      </c>
      <c r="R253" s="9" t="s">
        <v>153</v>
      </c>
      <c r="S253" s="14">
        <f t="shared" si="38"/>
        <v>50</v>
      </c>
      <c r="T253" s="10">
        <v>367</v>
      </c>
    </row>
    <row r="254" spans="1:20" x14ac:dyDescent="0.2">
      <c r="A254" s="7" t="s">
        <v>840</v>
      </c>
      <c r="B254" s="14">
        <v>2023</v>
      </c>
      <c r="C254" s="9" t="s">
        <v>21</v>
      </c>
      <c r="D254" s="9" t="s">
        <v>4</v>
      </c>
      <c r="E254" s="9" t="s">
        <v>634</v>
      </c>
      <c r="F254" s="10">
        <v>280</v>
      </c>
      <c r="G254" s="9" t="s">
        <v>841</v>
      </c>
      <c r="H254" s="14">
        <f t="shared" si="36"/>
        <v>2023</v>
      </c>
      <c r="I254" s="14">
        <f t="shared" si="37"/>
        <v>9</v>
      </c>
      <c r="J254" s="9" t="s">
        <v>153</v>
      </c>
      <c r="K254" s="9" t="s">
        <v>153</v>
      </c>
      <c r="L254" s="11" t="s">
        <v>842</v>
      </c>
      <c r="M254" s="8">
        <v>2</v>
      </c>
      <c r="N254" s="35">
        <v>29.95</v>
      </c>
      <c r="O254" s="9" t="s">
        <v>632</v>
      </c>
      <c r="P254" s="12" t="s">
        <v>843</v>
      </c>
      <c r="Q254" s="9" t="s">
        <v>538</v>
      </c>
      <c r="R254" s="9" t="s">
        <v>153</v>
      </c>
      <c r="S254" s="14">
        <f t="shared" si="38"/>
        <v>144</v>
      </c>
      <c r="T254" s="10">
        <v>429</v>
      </c>
    </row>
    <row r="255" spans="1:20" x14ac:dyDescent="0.2">
      <c r="A255" s="7" t="s">
        <v>844</v>
      </c>
      <c r="B255" s="14">
        <v>2021</v>
      </c>
      <c r="C255" s="9" t="s">
        <v>21</v>
      </c>
      <c r="D255" s="9" t="s">
        <v>4</v>
      </c>
      <c r="E255" s="9" t="s">
        <v>634</v>
      </c>
      <c r="F255" s="10">
        <v>391</v>
      </c>
      <c r="G255" s="9" t="s">
        <v>845</v>
      </c>
      <c r="H255" s="14">
        <f t="shared" si="36"/>
        <v>2023</v>
      </c>
      <c r="I255" s="14">
        <f t="shared" si="37"/>
        <v>9</v>
      </c>
      <c r="J255" s="9" t="s">
        <v>153</v>
      </c>
      <c r="K255" s="9" t="s">
        <v>153</v>
      </c>
      <c r="L255" s="9" t="s">
        <v>570</v>
      </c>
      <c r="M255" s="10">
        <v>3</v>
      </c>
      <c r="N255" s="35">
        <v>39</v>
      </c>
      <c r="O255" s="9" t="s">
        <v>632</v>
      </c>
      <c r="P255" s="12" t="s">
        <v>846</v>
      </c>
      <c r="Q255" s="9" t="s">
        <v>538</v>
      </c>
      <c r="R255" s="9" t="s">
        <v>153</v>
      </c>
      <c r="S255" s="14">
        <f t="shared" si="38"/>
        <v>231</v>
      </c>
      <c r="T255" s="10">
        <v>373</v>
      </c>
    </row>
    <row r="256" spans="1:20" x14ac:dyDescent="0.2">
      <c r="A256" s="7" t="s">
        <v>847</v>
      </c>
      <c r="B256" s="14">
        <v>2020</v>
      </c>
      <c r="C256" s="9" t="s">
        <v>21</v>
      </c>
      <c r="D256" s="9" t="s">
        <v>4</v>
      </c>
      <c r="E256" s="9" t="s">
        <v>634</v>
      </c>
      <c r="F256" s="10">
        <v>177</v>
      </c>
      <c r="G256" s="9" t="s">
        <v>848</v>
      </c>
      <c r="H256" s="14">
        <f t="shared" si="36"/>
        <v>2023</v>
      </c>
      <c r="I256" s="14">
        <f t="shared" si="37"/>
        <v>9</v>
      </c>
      <c r="J256" s="9" t="s">
        <v>153</v>
      </c>
      <c r="K256" s="9" t="s">
        <v>153</v>
      </c>
      <c r="L256" s="9" t="s">
        <v>570</v>
      </c>
      <c r="M256" s="10">
        <v>2</v>
      </c>
      <c r="N256" s="35">
        <v>0</v>
      </c>
      <c r="O256" s="9" t="s">
        <v>632</v>
      </c>
      <c r="P256" s="12" t="s">
        <v>1002</v>
      </c>
      <c r="Q256" s="9" t="s">
        <v>538</v>
      </c>
      <c r="R256" s="9" t="s">
        <v>153</v>
      </c>
      <c r="S256" s="14">
        <f t="shared" si="38"/>
        <v>335</v>
      </c>
      <c r="T256" s="10">
        <v>421</v>
      </c>
    </row>
    <row r="257" spans="1:20" x14ac:dyDescent="0.2">
      <c r="A257" s="7" t="s">
        <v>849</v>
      </c>
      <c r="B257" s="14">
        <v>2018</v>
      </c>
      <c r="C257" s="9" t="s">
        <v>21</v>
      </c>
      <c r="D257" s="9" t="s">
        <v>4</v>
      </c>
      <c r="E257" s="9" t="s">
        <v>634</v>
      </c>
      <c r="F257" s="10">
        <v>105</v>
      </c>
      <c r="G257" s="9" t="s">
        <v>850</v>
      </c>
      <c r="H257" s="14">
        <f t="shared" si="36"/>
        <v>2023</v>
      </c>
      <c r="I257" s="14">
        <f t="shared" si="37"/>
        <v>9</v>
      </c>
      <c r="J257" s="9" t="s">
        <v>153</v>
      </c>
      <c r="K257" s="9" t="s">
        <v>153</v>
      </c>
      <c r="L257" s="9" t="s">
        <v>570</v>
      </c>
      <c r="M257" s="10">
        <v>2</v>
      </c>
      <c r="N257" s="35">
        <v>0</v>
      </c>
      <c r="O257" s="9" t="s">
        <v>632</v>
      </c>
      <c r="P257" s="38" t="s">
        <v>851</v>
      </c>
      <c r="Q257" s="9" t="s">
        <v>1199</v>
      </c>
      <c r="R257" s="9" t="s">
        <v>153</v>
      </c>
      <c r="S257" s="14">
        <f t="shared" si="38"/>
        <v>80</v>
      </c>
      <c r="T257" s="10">
        <v>230</v>
      </c>
    </row>
    <row r="258" spans="1:20" x14ac:dyDescent="0.2">
      <c r="A258" s="7" t="s">
        <v>852</v>
      </c>
      <c r="B258" s="14">
        <v>2023</v>
      </c>
      <c r="C258" s="9" t="s">
        <v>21</v>
      </c>
      <c r="D258" s="9" t="s">
        <v>4</v>
      </c>
      <c r="E258" s="9" t="s">
        <v>634</v>
      </c>
      <c r="F258" s="10">
        <v>240</v>
      </c>
      <c r="G258" s="9" t="s">
        <v>850</v>
      </c>
      <c r="H258" s="14">
        <f t="shared" si="36"/>
        <v>2023</v>
      </c>
      <c r="I258" s="14">
        <f t="shared" si="37"/>
        <v>9</v>
      </c>
      <c r="J258" s="9" t="s">
        <v>153</v>
      </c>
      <c r="K258" s="9" t="s">
        <v>153</v>
      </c>
      <c r="L258" s="9" t="s">
        <v>341</v>
      </c>
      <c r="M258" s="10">
        <v>3</v>
      </c>
      <c r="N258" s="35">
        <v>39.99</v>
      </c>
      <c r="O258" s="9" t="s">
        <v>632</v>
      </c>
      <c r="P258" s="7" t="s">
        <v>853</v>
      </c>
      <c r="Q258" s="9" t="s">
        <v>442</v>
      </c>
      <c r="R258" s="9" t="s">
        <v>153</v>
      </c>
      <c r="S258" s="14">
        <f t="shared" si="38"/>
        <v>78</v>
      </c>
      <c r="T258" s="10">
        <v>194</v>
      </c>
    </row>
    <row r="259" spans="1:20" x14ac:dyDescent="0.2">
      <c r="A259" s="7" t="s">
        <v>854</v>
      </c>
      <c r="B259" s="14">
        <v>2023</v>
      </c>
      <c r="C259" s="9" t="s">
        <v>21</v>
      </c>
      <c r="D259" s="9" t="s">
        <v>4</v>
      </c>
      <c r="E259" s="9" t="s">
        <v>634</v>
      </c>
      <c r="F259" s="10">
        <v>51</v>
      </c>
      <c r="G259" s="9" t="s">
        <v>855</v>
      </c>
      <c r="H259" s="14">
        <f t="shared" si="36"/>
        <v>2023</v>
      </c>
      <c r="I259" s="14">
        <f t="shared" si="37"/>
        <v>9</v>
      </c>
      <c r="J259" s="9" t="s">
        <v>153</v>
      </c>
      <c r="K259" s="9" t="s">
        <v>153</v>
      </c>
      <c r="L259" s="9" t="s">
        <v>856</v>
      </c>
      <c r="M259" s="10">
        <v>2</v>
      </c>
      <c r="N259" s="35">
        <v>0</v>
      </c>
      <c r="O259" s="9" t="s">
        <v>632</v>
      </c>
      <c r="P259" s="7" t="s">
        <v>857</v>
      </c>
      <c r="Q259" s="9" t="s">
        <v>538</v>
      </c>
      <c r="R259" s="9" t="s">
        <v>153</v>
      </c>
      <c r="S259" s="14">
        <f t="shared" si="38"/>
        <v>60</v>
      </c>
      <c r="T259" s="10">
        <v>19</v>
      </c>
    </row>
    <row r="260" spans="1:20" x14ac:dyDescent="0.2">
      <c r="A260" s="7" t="s">
        <v>858</v>
      </c>
      <c r="B260" s="14">
        <v>2023</v>
      </c>
      <c r="C260" s="9" t="s">
        <v>21</v>
      </c>
      <c r="D260" s="9" t="s">
        <v>4</v>
      </c>
      <c r="E260" s="9" t="s">
        <v>634</v>
      </c>
      <c r="F260" s="10">
        <v>184</v>
      </c>
      <c r="G260" s="9" t="s">
        <v>855</v>
      </c>
      <c r="H260" s="14">
        <f t="shared" si="36"/>
        <v>2023</v>
      </c>
      <c r="I260" s="14">
        <f t="shared" si="37"/>
        <v>9</v>
      </c>
      <c r="J260" s="9" t="s">
        <v>153</v>
      </c>
      <c r="K260" s="9" t="s">
        <v>153</v>
      </c>
      <c r="L260" s="9" t="s">
        <v>370</v>
      </c>
      <c r="M260" s="10">
        <v>2</v>
      </c>
      <c r="N260" s="35">
        <v>29.99</v>
      </c>
      <c r="O260" s="9" t="s">
        <v>632</v>
      </c>
      <c r="P260" s="12" t="s">
        <v>859</v>
      </c>
      <c r="Q260" s="9" t="s">
        <v>1199</v>
      </c>
      <c r="R260" s="9" t="s">
        <v>153</v>
      </c>
      <c r="S260" s="14">
        <f t="shared" si="38"/>
        <v>137</v>
      </c>
      <c r="T260" s="10">
        <v>58</v>
      </c>
    </row>
    <row r="261" spans="1:20" x14ac:dyDescent="0.2">
      <c r="A261" s="7" t="s">
        <v>860</v>
      </c>
      <c r="B261" s="14">
        <v>2023</v>
      </c>
      <c r="C261" s="9" t="s">
        <v>21</v>
      </c>
      <c r="D261" s="9" t="s">
        <v>4</v>
      </c>
      <c r="E261" s="9" t="s">
        <v>634</v>
      </c>
      <c r="F261" s="10">
        <v>203</v>
      </c>
      <c r="G261" s="9" t="s">
        <v>861</v>
      </c>
      <c r="H261" s="14">
        <f t="shared" si="36"/>
        <v>2023</v>
      </c>
      <c r="I261" s="14">
        <f t="shared" si="37"/>
        <v>9</v>
      </c>
      <c r="J261" s="9" t="s">
        <v>153</v>
      </c>
      <c r="K261" s="9" t="s">
        <v>153</v>
      </c>
      <c r="L261" s="9" t="s">
        <v>362</v>
      </c>
      <c r="M261" s="10">
        <v>2</v>
      </c>
      <c r="N261" s="35">
        <v>29.49</v>
      </c>
      <c r="O261" s="9" t="s">
        <v>632</v>
      </c>
      <c r="P261" s="9" t="s">
        <v>862</v>
      </c>
      <c r="Q261" s="9" t="s">
        <v>442</v>
      </c>
      <c r="R261" s="9" t="s">
        <v>153</v>
      </c>
      <c r="S261" s="14">
        <f t="shared" si="38"/>
        <v>105</v>
      </c>
      <c r="T261" s="10">
        <v>145</v>
      </c>
    </row>
    <row r="262" spans="1:20" x14ac:dyDescent="0.2">
      <c r="A262" s="7" t="s">
        <v>863</v>
      </c>
      <c r="B262" s="14">
        <v>2021</v>
      </c>
      <c r="C262" s="9" t="s">
        <v>21</v>
      </c>
      <c r="D262" s="9" t="s">
        <v>4</v>
      </c>
      <c r="E262" s="9" t="s">
        <v>634</v>
      </c>
      <c r="F262" s="14">
        <v>338</v>
      </c>
      <c r="G262" s="9" t="s">
        <v>861</v>
      </c>
      <c r="H262" s="14">
        <f t="shared" si="36"/>
        <v>2023</v>
      </c>
      <c r="I262" s="14">
        <f t="shared" si="37"/>
        <v>9</v>
      </c>
      <c r="J262" s="9" t="s">
        <v>153</v>
      </c>
      <c r="K262" s="9" t="s">
        <v>153</v>
      </c>
      <c r="L262" s="9" t="s">
        <v>343</v>
      </c>
      <c r="M262" s="14">
        <v>3</v>
      </c>
      <c r="N262" s="35">
        <v>36.49</v>
      </c>
      <c r="O262" s="9" t="s">
        <v>632</v>
      </c>
      <c r="P262" s="7" t="s">
        <v>864</v>
      </c>
      <c r="Q262" s="9" t="s">
        <v>538</v>
      </c>
      <c r="R262" s="9" t="s">
        <v>153</v>
      </c>
      <c r="S262" s="14">
        <f t="shared" si="38"/>
        <v>94</v>
      </c>
      <c r="T262" s="10">
        <v>163</v>
      </c>
    </row>
    <row r="263" spans="1:20" x14ac:dyDescent="0.2">
      <c r="A263" s="7" t="s">
        <v>867</v>
      </c>
      <c r="B263" s="14">
        <v>2018</v>
      </c>
      <c r="C263" s="9" t="s">
        <v>21</v>
      </c>
      <c r="D263" s="9" t="s">
        <v>4</v>
      </c>
      <c r="E263" s="9" t="s">
        <v>634</v>
      </c>
      <c r="F263" s="14">
        <v>229</v>
      </c>
      <c r="G263" s="9" t="s">
        <v>868</v>
      </c>
      <c r="H263" s="14">
        <f t="shared" si="36"/>
        <v>2023</v>
      </c>
      <c r="I263" s="14">
        <f t="shared" si="37"/>
        <v>12</v>
      </c>
      <c r="J263" s="9" t="s">
        <v>153</v>
      </c>
      <c r="K263" s="9" t="s">
        <v>153</v>
      </c>
      <c r="L263" s="9" t="s">
        <v>341</v>
      </c>
      <c r="M263" s="14">
        <v>3</v>
      </c>
      <c r="N263" s="14">
        <v>43.99</v>
      </c>
      <c r="O263" s="9" t="s">
        <v>632</v>
      </c>
      <c r="P263" s="7" t="s">
        <v>869</v>
      </c>
      <c r="Q263" s="9" t="s">
        <v>839</v>
      </c>
      <c r="R263" s="9" t="s">
        <v>153</v>
      </c>
      <c r="S263" s="14">
        <f t="shared" si="38"/>
        <v>40</v>
      </c>
      <c r="T263" s="10">
        <v>335</v>
      </c>
    </row>
    <row r="264" spans="1:20" x14ac:dyDescent="0.2">
      <c r="A264" s="7" t="s">
        <v>870</v>
      </c>
      <c r="B264" s="14">
        <v>2022</v>
      </c>
      <c r="C264" s="9" t="s">
        <v>21</v>
      </c>
      <c r="D264" s="9" t="s">
        <v>4</v>
      </c>
      <c r="E264" s="9" t="s">
        <v>634</v>
      </c>
      <c r="F264" s="14">
        <v>94</v>
      </c>
      <c r="G264" s="9" t="s">
        <v>868</v>
      </c>
      <c r="H264" s="14">
        <f t="shared" ref="H264:H266" si="39">YEAR(G264)</f>
        <v>2023</v>
      </c>
      <c r="I264" s="14">
        <f t="shared" ref="I264:I266" si="40">MONTH(G264)</f>
        <v>12</v>
      </c>
      <c r="J264" s="9" t="s">
        <v>152</v>
      </c>
      <c r="K264" s="9" t="s">
        <v>152</v>
      </c>
      <c r="L264" s="9" t="s">
        <v>341</v>
      </c>
      <c r="M264" s="14">
        <v>4</v>
      </c>
      <c r="N264" s="14">
        <v>41.99</v>
      </c>
      <c r="O264" s="9" t="s">
        <v>632</v>
      </c>
      <c r="P264" s="7" t="s">
        <v>871</v>
      </c>
      <c r="Q264" s="9" t="s">
        <v>538</v>
      </c>
      <c r="R264" s="9" t="s">
        <v>153</v>
      </c>
      <c r="S264" s="14">
        <f t="shared" si="38"/>
        <v>41</v>
      </c>
      <c r="T264" s="10">
        <v>732</v>
      </c>
    </row>
    <row r="265" spans="1:20" x14ac:dyDescent="0.2">
      <c r="A265" s="7" t="s">
        <v>882</v>
      </c>
      <c r="B265" s="14">
        <v>2022</v>
      </c>
      <c r="C265" s="9" t="s">
        <v>21</v>
      </c>
      <c r="D265" s="9" t="s">
        <v>4</v>
      </c>
      <c r="E265" s="9" t="s">
        <v>634</v>
      </c>
      <c r="F265" s="14">
        <v>265</v>
      </c>
      <c r="G265" s="9" t="s">
        <v>872</v>
      </c>
      <c r="H265" s="14">
        <f t="shared" si="39"/>
        <v>2023</v>
      </c>
      <c r="I265" s="14">
        <f t="shared" si="40"/>
        <v>12</v>
      </c>
      <c r="J265" s="9" t="s">
        <v>153</v>
      </c>
      <c r="K265" s="9" t="s">
        <v>153</v>
      </c>
      <c r="L265" s="9" t="s">
        <v>341</v>
      </c>
      <c r="M265" s="14">
        <v>3</v>
      </c>
      <c r="N265" s="14">
        <v>46.99</v>
      </c>
      <c r="O265" s="9" t="s">
        <v>632</v>
      </c>
      <c r="P265" s="12" t="s">
        <v>873</v>
      </c>
      <c r="Q265" s="9" t="s">
        <v>538</v>
      </c>
      <c r="R265" s="9" t="s">
        <v>153</v>
      </c>
      <c r="S265" s="14">
        <f t="shared" si="38"/>
        <v>113</v>
      </c>
      <c r="T265" s="10">
        <v>710</v>
      </c>
    </row>
    <row r="266" spans="1:20" x14ac:dyDescent="0.2">
      <c r="A266" s="7" t="s">
        <v>881</v>
      </c>
      <c r="B266" s="14">
        <v>2023</v>
      </c>
      <c r="C266" s="9" t="s">
        <v>21</v>
      </c>
      <c r="D266" s="9" t="s">
        <v>4</v>
      </c>
      <c r="E266" s="9" t="s">
        <v>634</v>
      </c>
      <c r="F266" s="14">
        <v>288</v>
      </c>
      <c r="G266" s="9" t="s">
        <v>875</v>
      </c>
      <c r="H266" s="9">
        <f t="shared" si="39"/>
        <v>2024</v>
      </c>
      <c r="I266" s="9">
        <f t="shared" si="40"/>
        <v>1</v>
      </c>
      <c r="J266" s="9" t="s">
        <v>153</v>
      </c>
      <c r="K266" s="9" t="s">
        <v>153</v>
      </c>
      <c r="L266" s="9" t="s">
        <v>341</v>
      </c>
      <c r="M266" s="14">
        <v>2</v>
      </c>
      <c r="N266" s="14">
        <v>51.99</v>
      </c>
      <c r="O266" s="9" t="s">
        <v>632</v>
      </c>
      <c r="P266" s="12" t="s">
        <v>874</v>
      </c>
      <c r="Q266" s="9" t="s">
        <v>538</v>
      </c>
      <c r="R266" s="9" t="s">
        <v>153</v>
      </c>
      <c r="S266" s="14">
        <f t="shared" si="38"/>
        <v>162</v>
      </c>
      <c r="T266" s="10">
        <v>326</v>
      </c>
    </row>
    <row r="267" spans="1:20" x14ac:dyDescent="0.2">
      <c r="A267" s="7" t="s">
        <v>876</v>
      </c>
      <c r="B267" s="14">
        <v>2023</v>
      </c>
      <c r="C267" s="9" t="s">
        <v>21</v>
      </c>
      <c r="D267" s="9" t="s">
        <v>4</v>
      </c>
      <c r="E267" s="9" t="s">
        <v>634</v>
      </c>
      <c r="F267" s="14">
        <v>151</v>
      </c>
      <c r="G267" s="9" t="s">
        <v>877</v>
      </c>
      <c r="H267" s="9">
        <f t="shared" ref="H267" si="41">YEAR(G267)</f>
        <v>2024</v>
      </c>
      <c r="I267" s="9">
        <f t="shared" ref="I267" si="42">MONTH(G267)</f>
        <v>1</v>
      </c>
      <c r="J267" s="9" t="s">
        <v>153</v>
      </c>
      <c r="K267" s="9" t="s">
        <v>153</v>
      </c>
      <c r="L267" s="9" t="s">
        <v>343</v>
      </c>
      <c r="M267" s="14">
        <v>1</v>
      </c>
      <c r="N267" s="14">
        <v>30.49</v>
      </c>
      <c r="O267" s="9" t="s">
        <v>632</v>
      </c>
      <c r="P267" s="7" t="s">
        <v>878</v>
      </c>
      <c r="Q267" s="9" t="s">
        <v>442</v>
      </c>
      <c r="R267" s="9" t="s">
        <v>153</v>
      </c>
      <c r="S267" s="14">
        <f t="shared" si="38"/>
        <v>74</v>
      </c>
      <c r="T267" s="10">
        <v>164</v>
      </c>
    </row>
    <row r="268" spans="1:20" x14ac:dyDescent="0.2">
      <c r="A268" s="7" t="s">
        <v>879</v>
      </c>
      <c r="B268" s="14">
        <v>2022</v>
      </c>
      <c r="C268" s="9" t="s">
        <v>21</v>
      </c>
      <c r="D268" s="9" t="s">
        <v>4</v>
      </c>
      <c r="E268" s="9" t="s">
        <v>634</v>
      </c>
      <c r="F268" s="14">
        <v>416</v>
      </c>
      <c r="G268" s="9" t="s">
        <v>877</v>
      </c>
      <c r="H268" s="9">
        <f t="shared" ref="H268:H270" si="43">YEAR(G268)</f>
        <v>2024</v>
      </c>
      <c r="I268" s="9">
        <f t="shared" ref="I268:I270" si="44">MONTH(G268)</f>
        <v>1</v>
      </c>
      <c r="J268" s="9" t="s">
        <v>153</v>
      </c>
      <c r="K268" s="9" t="s">
        <v>153</v>
      </c>
      <c r="L268" s="9" t="s">
        <v>364</v>
      </c>
      <c r="M268" s="14">
        <v>1</v>
      </c>
      <c r="N268" s="14">
        <v>49.99</v>
      </c>
      <c r="O268" s="9" t="s">
        <v>632</v>
      </c>
      <c r="P268" s="7" t="s">
        <v>880</v>
      </c>
      <c r="Q268" s="9" t="s">
        <v>442</v>
      </c>
      <c r="R268" s="9" t="s">
        <v>153</v>
      </c>
      <c r="S268" s="14">
        <f t="shared" si="38"/>
        <v>162</v>
      </c>
      <c r="T268" s="10">
        <v>95</v>
      </c>
    </row>
    <row r="269" spans="1:20" x14ac:dyDescent="0.2">
      <c r="A269" s="7" t="s">
        <v>883</v>
      </c>
      <c r="B269" s="14">
        <v>2022</v>
      </c>
      <c r="C269" s="9" t="s">
        <v>21</v>
      </c>
      <c r="D269" s="9" t="s">
        <v>4</v>
      </c>
      <c r="E269" s="9" t="s">
        <v>634</v>
      </c>
      <c r="F269" s="14">
        <v>535</v>
      </c>
      <c r="G269" s="9" t="s">
        <v>884</v>
      </c>
      <c r="H269" s="9">
        <f t="shared" si="43"/>
        <v>2024</v>
      </c>
      <c r="I269" s="9">
        <f t="shared" si="44"/>
        <v>2</v>
      </c>
      <c r="J269" s="9" t="s">
        <v>153</v>
      </c>
      <c r="K269" s="9" t="s">
        <v>153</v>
      </c>
      <c r="L269" s="9" t="s">
        <v>570</v>
      </c>
      <c r="M269" s="14">
        <v>2</v>
      </c>
      <c r="N269" s="35">
        <v>0</v>
      </c>
      <c r="O269" s="9" t="s">
        <v>632</v>
      </c>
      <c r="P269" s="7" t="s">
        <v>885</v>
      </c>
      <c r="Q269" s="9" t="s">
        <v>839</v>
      </c>
      <c r="R269" s="9" t="s">
        <v>153</v>
      </c>
      <c r="S269" s="14">
        <f t="shared" si="38"/>
        <v>52</v>
      </c>
      <c r="T269" s="10">
        <v>85</v>
      </c>
    </row>
    <row r="270" spans="1:20" x14ac:dyDescent="0.2">
      <c r="A270" s="7" t="s">
        <v>886</v>
      </c>
      <c r="B270" s="14">
        <v>2018</v>
      </c>
      <c r="C270" s="9" t="s">
        <v>21</v>
      </c>
      <c r="D270" s="9" t="s">
        <v>4</v>
      </c>
      <c r="E270" s="9" t="s">
        <v>634</v>
      </c>
      <c r="F270" s="14">
        <v>429</v>
      </c>
      <c r="G270" s="9" t="s">
        <v>884</v>
      </c>
      <c r="H270" s="9">
        <f t="shared" si="43"/>
        <v>2024</v>
      </c>
      <c r="I270" s="9">
        <f t="shared" si="44"/>
        <v>2</v>
      </c>
      <c r="J270" s="9" t="s">
        <v>153</v>
      </c>
      <c r="K270" s="9" t="s">
        <v>153</v>
      </c>
      <c r="L270" s="9" t="s">
        <v>421</v>
      </c>
      <c r="M270" s="14">
        <v>3</v>
      </c>
      <c r="N270" s="14">
        <v>30.39</v>
      </c>
      <c r="O270" s="9" t="s">
        <v>632</v>
      </c>
      <c r="P270" s="12" t="s">
        <v>887</v>
      </c>
      <c r="Q270" s="9" t="s">
        <v>442</v>
      </c>
      <c r="R270" s="9" t="s">
        <v>153</v>
      </c>
      <c r="S270" s="14">
        <f t="shared" si="38"/>
        <v>128</v>
      </c>
      <c r="T270" s="10">
        <v>500</v>
      </c>
    </row>
    <row r="271" spans="1:20" x14ac:dyDescent="0.2">
      <c r="A271" s="7" t="s">
        <v>888</v>
      </c>
      <c r="B271" s="14">
        <v>2023</v>
      </c>
      <c r="C271" s="9" t="s">
        <v>21</v>
      </c>
      <c r="D271" s="9" t="s">
        <v>4</v>
      </c>
      <c r="E271" s="9" t="s">
        <v>634</v>
      </c>
      <c r="F271" s="14">
        <v>455</v>
      </c>
      <c r="G271" s="9" t="s">
        <v>889</v>
      </c>
      <c r="H271" s="9">
        <f t="shared" ref="H271:H272" si="45">YEAR(G271)</f>
        <v>2024</v>
      </c>
      <c r="I271" s="9">
        <f t="shared" ref="I271:I272" si="46">MONTH(G271)</f>
        <v>2</v>
      </c>
      <c r="J271" s="9" t="s">
        <v>153</v>
      </c>
      <c r="K271" s="9" t="s">
        <v>153</v>
      </c>
      <c r="L271" s="9" t="s">
        <v>345</v>
      </c>
      <c r="M271" s="14">
        <v>1</v>
      </c>
      <c r="N271" s="14">
        <v>49.99</v>
      </c>
      <c r="O271" s="9" t="s">
        <v>632</v>
      </c>
      <c r="P271" s="39" t="s">
        <v>996</v>
      </c>
      <c r="Q271" s="9" t="s">
        <v>538</v>
      </c>
      <c r="R271" s="9" t="s">
        <v>153</v>
      </c>
      <c r="S271" s="14">
        <f t="shared" si="38"/>
        <v>201</v>
      </c>
      <c r="T271" s="10">
        <v>373</v>
      </c>
    </row>
    <row r="272" spans="1:20" x14ac:dyDescent="0.2">
      <c r="A272" s="7" t="s">
        <v>995</v>
      </c>
      <c r="B272" s="14">
        <v>2023</v>
      </c>
      <c r="C272" s="9" t="s">
        <v>21</v>
      </c>
      <c r="D272" s="9" t="s">
        <v>4</v>
      </c>
      <c r="E272" s="9" t="s">
        <v>634</v>
      </c>
      <c r="F272" s="14">
        <v>268</v>
      </c>
      <c r="G272" s="9" t="s">
        <v>889</v>
      </c>
      <c r="H272" s="9">
        <f t="shared" si="45"/>
        <v>2024</v>
      </c>
      <c r="I272" s="9">
        <f t="shared" si="46"/>
        <v>2</v>
      </c>
      <c r="J272" s="9" t="s">
        <v>153</v>
      </c>
      <c r="K272" s="9" t="s">
        <v>153</v>
      </c>
      <c r="L272" s="9" t="s">
        <v>345</v>
      </c>
      <c r="M272" s="14">
        <v>1</v>
      </c>
      <c r="N272" s="14">
        <v>59.99</v>
      </c>
      <c r="O272" s="9" t="s">
        <v>632</v>
      </c>
      <c r="P272" s="12" t="s">
        <v>890</v>
      </c>
      <c r="Q272" s="9" t="s">
        <v>538</v>
      </c>
      <c r="R272" s="9" t="s">
        <v>153</v>
      </c>
      <c r="S272" s="14">
        <f t="shared" si="38"/>
        <v>181</v>
      </c>
      <c r="T272" s="10">
        <v>37</v>
      </c>
    </row>
    <row r="273" spans="1:20" x14ac:dyDescent="0.2">
      <c r="A273" s="7" t="s">
        <v>891</v>
      </c>
      <c r="B273" s="14">
        <v>2022</v>
      </c>
      <c r="C273" s="9" t="s">
        <v>21</v>
      </c>
      <c r="D273" s="9" t="s">
        <v>4</v>
      </c>
      <c r="E273" s="9" t="s">
        <v>634</v>
      </c>
      <c r="F273" s="14">
        <v>205</v>
      </c>
      <c r="G273" s="9" t="s">
        <v>889</v>
      </c>
      <c r="H273" s="9">
        <f t="shared" ref="H273" si="47">YEAR(G273)</f>
        <v>2024</v>
      </c>
      <c r="I273" s="9">
        <f t="shared" ref="I273" si="48">MONTH(G273)</f>
        <v>2</v>
      </c>
      <c r="J273" s="9" t="s">
        <v>153</v>
      </c>
      <c r="K273" s="9" t="s">
        <v>153</v>
      </c>
      <c r="L273" s="9" t="s">
        <v>570</v>
      </c>
      <c r="M273" s="14">
        <v>1</v>
      </c>
      <c r="N273" s="14">
        <v>22.49</v>
      </c>
      <c r="O273" s="9" t="s">
        <v>632</v>
      </c>
      <c r="P273" s="12" t="s">
        <v>892</v>
      </c>
      <c r="Q273" s="9" t="s">
        <v>538</v>
      </c>
      <c r="R273" s="9" t="s">
        <v>153</v>
      </c>
      <c r="S273" s="14">
        <f t="shared" si="38"/>
        <v>134</v>
      </c>
      <c r="T273" s="10">
        <v>0</v>
      </c>
    </row>
    <row r="274" spans="1:20" ht="12" customHeight="1" x14ac:dyDescent="0.2">
      <c r="A274" s="7" t="s">
        <v>893</v>
      </c>
      <c r="B274" s="14">
        <v>2022</v>
      </c>
      <c r="C274" s="9" t="s">
        <v>21</v>
      </c>
      <c r="D274" s="9" t="s">
        <v>4</v>
      </c>
      <c r="E274" s="9" t="s">
        <v>634</v>
      </c>
      <c r="F274" s="14">
        <v>94</v>
      </c>
      <c r="G274" s="9" t="s">
        <v>889</v>
      </c>
      <c r="H274" s="9">
        <f t="shared" ref="H274" si="49">YEAR(G274)</f>
        <v>2024</v>
      </c>
      <c r="I274" s="9">
        <f t="shared" ref="I274" si="50">MONTH(G274)</f>
        <v>2</v>
      </c>
      <c r="J274" s="9" t="s">
        <v>153</v>
      </c>
      <c r="K274" s="9" t="s">
        <v>153</v>
      </c>
      <c r="L274" s="9" t="s">
        <v>348</v>
      </c>
      <c r="M274" s="14">
        <v>1</v>
      </c>
      <c r="N274" s="14">
        <v>38.880000000000003</v>
      </c>
      <c r="O274" s="9" t="s">
        <v>632</v>
      </c>
      <c r="P274" s="7" t="s">
        <v>894</v>
      </c>
      <c r="Q274" s="9" t="s">
        <v>538</v>
      </c>
      <c r="R274" s="9" t="s">
        <v>153</v>
      </c>
      <c r="S274" s="14">
        <f t="shared" si="38"/>
        <v>80</v>
      </c>
      <c r="T274" s="10">
        <v>16</v>
      </c>
    </row>
    <row r="275" spans="1:20" x14ac:dyDescent="0.2">
      <c r="A275" s="7" t="s">
        <v>895</v>
      </c>
      <c r="B275" s="14">
        <v>2020</v>
      </c>
      <c r="C275" s="9" t="s">
        <v>21</v>
      </c>
      <c r="D275" s="9" t="s">
        <v>4</v>
      </c>
      <c r="E275" s="9" t="s">
        <v>634</v>
      </c>
      <c r="F275" s="14">
        <v>132</v>
      </c>
      <c r="G275" s="9" t="s">
        <v>889</v>
      </c>
      <c r="H275" s="9">
        <f t="shared" ref="H275:H276" si="51">YEAR(G275)</f>
        <v>2024</v>
      </c>
      <c r="I275" s="9">
        <f t="shared" ref="I275:I276" si="52">MONTH(G275)</f>
        <v>2</v>
      </c>
      <c r="J275" s="9" t="s">
        <v>153</v>
      </c>
      <c r="K275" s="9" t="s">
        <v>153</v>
      </c>
      <c r="L275" s="9" t="s">
        <v>570</v>
      </c>
      <c r="M275" s="14">
        <v>1</v>
      </c>
      <c r="N275" s="14">
        <v>49.99</v>
      </c>
      <c r="O275" s="9" t="s">
        <v>632</v>
      </c>
      <c r="P275" s="7" t="s">
        <v>896</v>
      </c>
      <c r="Q275" s="9" t="s">
        <v>538</v>
      </c>
      <c r="R275" s="9" t="s">
        <v>153</v>
      </c>
      <c r="S275" s="14">
        <f t="shared" si="38"/>
        <v>121</v>
      </c>
      <c r="T275" s="10">
        <v>76</v>
      </c>
    </row>
    <row r="276" spans="1:20" x14ac:dyDescent="0.2">
      <c r="A276" s="7" t="s">
        <v>898</v>
      </c>
      <c r="B276" s="14">
        <v>2021</v>
      </c>
      <c r="C276" s="9" t="s">
        <v>21</v>
      </c>
      <c r="D276" s="9" t="s">
        <v>4</v>
      </c>
      <c r="E276" s="9" t="s">
        <v>634</v>
      </c>
      <c r="F276" s="14">
        <v>715</v>
      </c>
      <c r="G276" s="9" t="s">
        <v>897</v>
      </c>
      <c r="H276" s="9">
        <f t="shared" si="51"/>
        <v>2024</v>
      </c>
      <c r="I276" s="9">
        <f t="shared" si="52"/>
        <v>2</v>
      </c>
      <c r="J276" s="9" t="s">
        <v>153</v>
      </c>
      <c r="K276" s="9" t="s">
        <v>153</v>
      </c>
      <c r="L276" s="9" t="s">
        <v>341</v>
      </c>
      <c r="M276" s="14">
        <v>2</v>
      </c>
      <c r="N276" s="14">
        <v>38.24</v>
      </c>
      <c r="O276" s="9" t="s">
        <v>632</v>
      </c>
      <c r="P276" s="7" t="s">
        <v>899</v>
      </c>
      <c r="Q276" s="9" t="s">
        <v>538</v>
      </c>
      <c r="R276" s="9" t="s">
        <v>153</v>
      </c>
      <c r="S276" s="14">
        <f t="shared" si="38"/>
        <v>105</v>
      </c>
      <c r="T276" s="10">
        <v>248</v>
      </c>
    </row>
    <row r="277" spans="1:20" x14ac:dyDescent="0.2">
      <c r="A277" s="7" t="s">
        <v>900</v>
      </c>
      <c r="B277" s="14">
        <v>2023</v>
      </c>
      <c r="C277" s="9" t="s">
        <v>21</v>
      </c>
      <c r="D277" s="9" t="s">
        <v>4</v>
      </c>
      <c r="E277" s="9" t="s">
        <v>634</v>
      </c>
      <c r="F277" s="14">
        <v>192</v>
      </c>
      <c r="G277" s="9" t="s">
        <v>897</v>
      </c>
      <c r="H277" s="9">
        <f t="shared" ref="H277" si="53">YEAR(G277)</f>
        <v>2024</v>
      </c>
      <c r="I277" s="9">
        <f t="shared" ref="I277" si="54">MONTH(G277)</f>
        <v>2</v>
      </c>
      <c r="J277" s="9" t="s">
        <v>153</v>
      </c>
      <c r="K277" s="9" t="s">
        <v>153</v>
      </c>
      <c r="L277" s="9" t="s">
        <v>901</v>
      </c>
      <c r="M277" s="14">
        <v>1</v>
      </c>
      <c r="N277" s="14">
        <v>54.99</v>
      </c>
      <c r="O277" s="9" t="s">
        <v>632</v>
      </c>
      <c r="P277" s="7" t="s">
        <v>902</v>
      </c>
      <c r="Q277" s="9" t="s">
        <v>538</v>
      </c>
      <c r="R277" s="9" t="s">
        <v>153</v>
      </c>
      <c r="S277" s="14">
        <f t="shared" si="38"/>
        <v>142</v>
      </c>
      <c r="T277" s="10">
        <v>21</v>
      </c>
    </row>
    <row r="278" spans="1:20" x14ac:dyDescent="0.2">
      <c r="A278" s="7" t="s">
        <v>903</v>
      </c>
      <c r="B278" s="14">
        <v>2024</v>
      </c>
      <c r="C278" s="9" t="s">
        <v>21</v>
      </c>
      <c r="D278" s="9" t="s">
        <v>4</v>
      </c>
      <c r="E278" s="9" t="s">
        <v>634</v>
      </c>
      <c r="F278" s="14">
        <v>139</v>
      </c>
      <c r="G278" s="9" t="s">
        <v>897</v>
      </c>
      <c r="H278" s="9">
        <f t="shared" ref="H278" si="55">YEAR(G278)</f>
        <v>2024</v>
      </c>
      <c r="I278" s="9">
        <f t="shared" ref="I278" si="56">MONTH(G278)</f>
        <v>2</v>
      </c>
      <c r="J278" s="9" t="s">
        <v>153</v>
      </c>
      <c r="K278" s="9" t="s">
        <v>153</v>
      </c>
      <c r="L278" s="9" t="s">
        <v>904</v>
      </c>
      <c r="M278" s="14">
        <v>1</v>
      </c>
      <c r="N278" s="14">
        <v>59.95</v>
      </c>
      <c r="O278" s="9" t="s">
        <v>632</v>
      </c>
      <c r="P278" s="7" t="s">
        <v>905</v>
      </c>
      <c r="Q278" s="9" t="s">
        <v>538</v>
      </c>
      <c r="R278" s="9" t="s">
        <v>153</v>
      </c>
      <c r="S278" s="14">
        <f t="shared" si="38"/>
        <v>138</v>
      </c>
      <c r="T278" s="10">
        <v>44</v>
      </c>
    </row>
    <row r="279" spans="1:20" x14ac:dyDescent="0.2">
      <c r="A279" s="7" t="s">
        <v>906</v>
      </c>
      <c r="B279" s="14">
        <v>2023</v>
      </c>
      <c r="C279" s="9" t="s">
        <v>21</v>
      </c>
      <c r="D279" s="9" t="s">
        <v>4</v>
      </c>
      <c r="E279" s="9" t="s">
        <v>634</v>
      </c>
      <c r="F279" s="14">
        <v>963</v>
      </c>
      <c r="G279" s="9" t="s">
        <v>897</v>
      </c>
      <c r="H279" s="9">
        <f t="shared" ref="H279" si="57">YEAR(G279)</f>
        <v>2024</v>
      </c>
      <c r="I279" s="9">
        <f t="shared" ref="I279" si="58">MONTH(G279)</f>
        <v>2</v>
      </c>
      <c r="J279" s="9" t="s">
        <v>153</v>
      </c>
      <c r="K279" s="9" t="s">
        <v>153</v>
      </c>
      <c r="L279" s="9" t="s">
        <v>343</v>
      </c>
      <c r="M279" s="14">
        <v>3</v>
      </c>
      <c r="N279" s="14">
        <v>65.23</v>
      </c>
      <c r="O279" s="9" t="s">
        <v>632</v>
      </c>
      <c r="P279" s="7" t="s">
        <v>907</v>
      </c>
      <c r="Q279" s="9" t="s">
        <v>538</v>
      </c>
      <c r="R279" s="9" t="s">
        <v>153</v>
      </c>
      <c r="S279" s="14">
        <f t="shared" si="38"/>
        <v>90</v>
      </c>
      <c r="T279" s="10">
        <v>315</v>
      </c>
    </row>
    <row r="280" spans="1:20" x14ac:dyDescent="0.2">
      <c r="A280" s="7" t="s">
        <v>908</v>
      </c>
      <c r="B280" s="14">
        <v>2024</v>
      </c>
      <c r="C280" s="9" t="s">
        <v>21</v>
      </c>
      <c r="D280" s="9" t="s">
        <v>4</v>
      </c>
      <c r="E280" s="9" t="s">
        <v>634</v>
      </c>
      <c r="F280" s="14">
        <v>229</v>
      </c>
      <c r="G280" s="9" t="s">
        <v>897</v>
      </c>
      <c r="H280" s="9">
        <f t="shared" ref="H280:H281" si="59">YEAR(G280)</f>
        <v>2024</v>
      </c>
      <c r="I280" s="9">
        <f t="shared" ref="I280:I281" si="60">MONTH(G280)</f>
        <v>2</v>
      </c>
      <c r="J280" s="9" t="s">
        <v>153</v>
      </c>
      <c r="K280" s="9" t="s">
        <v>152</v>
      </c>
      <c r="L280" s="9" t="s">
        <v>901</v>
      </c>
      <c r="M280" s="14">
        <v>2</v>
      </c>
      <c r="N280" s="14">
        <v>54.99</v>
      </c>
      <c r="O280" s="9" t="s">
        <v>632</v>
      </c>
      <c r="P280" s="7" t="s">
        <v>909</v>
      </c>
      <c r="Q280" s="9" t="s">
        <v>538</v>
      </c>
      <c r="R280" s="9" t="s">
        <v>153</v>
      </c>
      <c r="S280" s="14">
        <f t="shared" si="38"/>
        <v>75</v>
      </c>
      <c r="T280" s="10">
        <v>123</v>
      </c>
    </row>
    <row r="281" spans="1:20" x14ac:dyDescent="0.2">
      <c r="A281" s="7" t="s">
        <v>910</v>
      </c>
      <c r="B281" s="14">
        <v>2018</v>
      </c>
      <c r="C281" s="9" t="s">
        <v>21</v>
      </c>
      <c r="D281" s="9" t="s">
        <v>4</v>
      </c>
      <c r="E281" s="9" t="s">
        <v>634</v>
      </c>
      <c r="F281" s="14">
        <v>978</v>
      </c>
      <c r="G281" s="9" t="s">
        <v>911</v>
      </c>
      <c r="H281" s="9">
        <f t="shared" si="59"/>
        <v>2024</v>
      </c>
      <c r="I281" s="9">
        <f t="shared" si="60"/>
        <v>2</v>
      </c>
      <c r="J281" s="9" t="s">
        <v>153</v>
      </c>
      <c r="K281" s="9" t="s">
        <v>153</v>
      </c>
      <c r="L281" s="9" t="s">
        <v>341</v>
      </c>
      <c r="M281" s="14">
        <v>2</v>
      </c>
      <c r="N281" s="14">
        <v>33.99</v>
      </c>
      <c r="O281" s="9" t="s">
        <v>632</v>
      </c>
      <c r="P281" s="7" t="s">
        <v>912</v>
      </c>
      <c r="Q281" s="9" t="s">
        <v>538</v>
      </c>
      <c r="R281" s="9" t="s">
        <v>153</v>
      </c>
      <c r="S281" s="14">
        <f t="shared" si="38"/>
        <v>125</v>
      </c>
      <c r="T281" s="10">
        <v>146</v>
      </c>
    </row>
    <row r="282" spans="1:20" x14ac:dyDescent="0.2">
      <c r="A282" s="7" t="s">
        <v>913</v>
      </c>
      <c r="B282" s="14">
        <v>2022</v>
      </c>
      <c r="C282" s="9" t="s">
        <v>21</v>
      </c>
      <c r="D282" s="9" t="s">
        <v>4</v>
      </c>
      <c r="E282" s="9" t="s">
        <v>634</v>
      </c>
      <c r="F282" s="14">
        <v>264</v>
      </c>
      <c r="G282" s="9" t="s">
        <v>911</v>
      </c>
      <c r="H282" s="9">
        <f t="shared" ref="H282" si="61">YEAR(G282)</f>
        <v>2024</v>
      </c>
      <c r="I282" s="9">
        <f t="shared" ref="I282" si="62">MONTH(G282)</f>
        <v>2</v>
      </c>
      <c r="J282" s="9" t="s">
        <v>153</v>
      </c>
      <c r="K282" s="9" t="s">
        <v>153</v>
      </c>
      <c r="L282" s="9" t="s">
        <v>362</v>
      </c>
      <c r="M282" s="14">
        <v>3</v>
      </c>
      <c r="N282" s="14">
        <v>39.49</v>
      </c>
      <c r="O282" s="9" t="s">
        <v>632</v>
      </c>
      <c r="P282" s="7" t="s">
        <v>914</v>
      </c>
      <c r="Q282" s="9" t="s">
        <v>538</v>
      </c>
      <c r="R282" s="9" t="s">
        <v>153</v>
      </c>
      <c r="S282" s="14">
        <f t="shared" si="38"/>
        <v>59</v>
      </c>
      <c r="T282" s="10">
        <v>85</v>
      </c>
    </row>
    <row r="283" spans="1:20" x14ac:dyDescent="0.2">
      <c r="A283" s="7" t="s">
        <v>915</v>
      </c>
      <c r="B283" s="14">
        <v>2022</v>
      </c>
      <c r="C283" s="9" t="s">
        <v>21</v>
      </c>
      <c r="D283" s="9" t="s">
        <v>4</v>
      </c>
      <c r="E283" s="9" t="s">
        <v>634</v>
      </c>
      <c r="F283" s="14">
        <v>243</v>
      </c>
      <c r="G283" s="9" t="s">
        <v>911</v>
      </c>
      <c r="H283" s="9">
        <f t="shared" ref="H283:H286" si="63">YEAR(G283)</f>
        <v>2024</v>
      </c>
      <c r="I283" s="9">
        <f t="shared" ref="I283" si="64">MONTH(G283)</f>
        <v>2</v>
      </c>
      <c r="J283" s="9" t="s">
        <v>152</v>
      </c>
      <c r="K283" s="9" t="s">
        <v>153</v>
      </c>
      <c r="L283" s="9" t="s">
        <v>904</v>
      </c>
      <c r="M283" s="14">
        <v>4</v>
      </c>
      <c r="N283" s="14">
        <v>48.95</v>
      </c>
      <c r="O283" s="9" t="s">
        <v>632</v>
      </c>
      <c r="P283" s="7" t="s">
        <v>916</v>
      </c>
      <c r="Q283" s="9" t="s">
        <v>538</v>
      </c>
      <c r="R283" s="9" t="s">
        <v>153</v>
      </c>
      <c r="S283" s="14">
        <f t="shared" si="38"/>
        <v>140</v>
      </c>
      <c r="T283" s="10">
        <v>350</v>
      </c>
    </row>
    <row r="284" spans="1:20" x14ac:dyDescent="0.2">
      <c r="A284" s="7" t="s">
        <v>917</v>
      </c>
      <c r="B284" s="14">
        <v>2024</v>
      </c>
      <c r="C284" s="9" t="s">
        <v>21</v>
      </c>
      <c r="D284" s="9" t="s">
        <v>4</v>
      </c>
      <c r="E284" s="9" t="s">
        <v>634</v>
      </c>
      <c r="F284" s="14">
        <v>337</v>
      </c>
      <c r="G284" s="9" t="s">
        <v>918</v>
      </c>
      <c r="H284" s="9">
        <f t="shared" si="63"/>
        <v>2024</v>
      </c>
      <c r="I284" s="9">
        <f t="shared" ref="I284:I290" si="65">MONTH(G284)</f>
        <v>5</v>
      </c>
      <c r="J284" s="9" t="s">
        <v>153</v>
      </c>
      <c r="K284" s="9" t="s">
        <v>153</v>
      </c>
      <c r="L284" s="9" t="s">
        <v>352</v>
      </c>
      <c r="M284" s="14">
        <v>1</v>
      </c>
      <c r="N284" s="14">
        <v>24.99</v>
      </c>
      <c r="O284" s="9" t="s">
        <v>632</v>
      </c>
      <c r="P284" s="7" t="s">
        <v>920</v>
      </c>
      <c r="Q284" s="9" t="s">
        <v>919</v>
      </c>
      <c r="R284" s="9" t="s">
        <v>153</v>
      </c>
      <c r="S284" s="14">
        <f t="shared" si="38"/>
        <v>168</v>
      </c>
      <c r="T284" s="10">
        <v>317</v>
      </c>
    </row>
    <row r="285" spans="1:20" x14ac:dyDescent="0.2">
      <c r="A285" s="7" t="s">
        <v>921</v>
      </c>
      <c r="B285" s="14">
        <v>2024</v>
      </c>
      <c r="C285" s="9" t="s">
        <v>21</v>
      </c>
      <c r="D285" s="9" t="s">
        <v>4</v>
      </c>
      <c r="E285" s="9" t="s">
        <v>634</v>
      </c>
      <c r="F285" s="14">
        <v>253</v>
      </c>
      <c r="G285" s="9" t="s">
        <v>918</v>
      </c>
      <c r="H285" s="9">
        <f t="shared" si="63"/>
        <v>2024</v>
      </c>
      <c r="I285" s="9">
        <f t="shared" si="65"/>
        <v>5</v>
      </c>
      <c r="J285" s="9" t="s">
        <v>153</v>
      </c>
      <c r="K285" s="9" t="s">
        <v>153</v>
      </c>
      <c r="L285" s="9" t="s">
        <v>352</v>
      </c>
      <c r="M285" s="14">
        <v>1</v>
      </c>
      <c r="N285" s="14">
        <v>24.99</v>
      </c>
      <c r="O285" s="9" t="s">
        <v>632</v>
      </c>
      <c r="P285" s="7" t="s">
        <v>922</v>
      </c>
      <c r="Q285" s="9" t="s">
        <v>919</v>
      </c>
      <c r="R285" s="9" t="s">
        <v>153</v>
      </c>
      <c r="S285" s="14">
        <f t="shared" si="38"/>
        <v>99</v>
      </c>
      <c r="T285" s="10">
        <v>28</v>
      </c>
    </row>
    <row r="286" spans="1:20" x14ac:dyDescent="0.2">
      <c r="A286" s="7" t="s">
        <v>924</v>
      </c>
      <c r="B286" s="14">
        <v>2024</v>
      </c>
      <c r="C286" s="9" t="s">
        <v>21</v>
      </c>
      <c r="D286" s="9" t="s">
        <v>4</v>
      </c>
      <c r="E286" s="9" t="s">
        <v>634</v>
      </c>
      <c r="F286" s="14">
        <v>316</v>
      </c>
      <c r="G286" s="9" t="s">
        <v>925</v>
      </c>
      <c r="H286" s="9">
        <f t="shared" si="63"/>
        <v>2024</v>
      </c>
      <c r="I286" s="9">
        <f t="shared" si="65"/>
        <v>6</v>
      </c>
      <c r="J286" s="9" t="s">
        <v>153</v>
      </c>
      <c r="K286" s="9" t="s">
        <v>153</v>
      </c>
      <c r="L286" s="9" t="s">
        <v>341</v>
      </c>
      <c r="M286" s="14">
        <v>3</v>
      </c>
      <c r="N286" s="14">
        <v>44.99</v>
      </c>
      <c r="O286" s="9" t="s">
        <v>632</v>
      </c>
      <c r="P286" s="7" t="s">
        <v>926</v>
      </c>
      <c r="Q286" s="9" t="s">
        <v>919</v>
      </c>
      <c r="R286" s="9" t="s">
        <v>153</v>
      </c>
      <c r="S286" s="14">
        <f t="shared" si="38"/>
        <v>280</v>
      </c>
      <c r="T286" s="10">
        <v>236</v>
      </c>
    </row>
    <row r="287" spans="1:20" x14ac:dyDescent="0.2">
      <c r="A287" s="7" t="s">
        <v>1154</v>
      </c>
      <c r="B287" s="14">
        <v>2024</v>
      </c>
      <c r="C287" s="9" t="s">
        <v>21</v>
      </c>
      <c r="D287" s="9" t="s">
        <v>4</v>
      </c>
      <c r="E287" s="9" t="s">
        <v>634</v>
      </c>
      <c r="F287" s="14">
        <v>112</v>
      </c>
      <c r="G287" s="9" t="s">
        <v>925</v>
      </c>
      <c r="H287" s="9">
        <f t="shared" ref="H287" si="66">YEAR(G287)</f>
        <v>2024</v>
      </c>
      <c r="I287" s="9">
        <f t="shared" si="65"/>
        <v>6</v>
      </c>
      <c r="J287" s="9" t="s">
        <v>153</v>
      </c>
      <c r="K287" s="9" t="s">
        <v>153</v>
      </c>
      <c r="L287" s="9" t="s">
        <v>952</v>
      </c>
      <c r="M287" s="14">
        <v>3</v>
      </c>
      <c r="N287" s="35">
        <v>0</v>
      </c>
      <c r="O287" s="9" t="s">
        <v>632</v>
      </c>
      <c r="P287" s="7" t="s">
        <v>927</v>
      </c>
      <c r="Q287" s="9" t="s">
        <v>923</v>
      </c>
      <c r="R287" s="9" t="s">
        <v>153</v>
      </c>
      <c r="S287" s="14">
        <f t="shared" si="38"/>
        <v>84</v>
      </c>
      <c r="T287" s="10">
        <v>286</v>
      </c>
    </row>
    <row r="288" spans="1:20" x14ac:dyDescent="0.2">
      <c r="A288" s="7" t="s">
        <v>928</v>
      </c>
      <c r="B288" s="14">
        <v>2024</v>
      </c>
      <c r="C288" s="9" t="s">
        <v>21</v>
      </c>
      <c r="D288" s="9" t="s">
        <v>4</v>
      </c>
      <c r="E288" s="9" t="s">
        <v>634</v>
      </c>
      <c r="F288" s="14">
        <v>1779</v>
      </c>
      <c r="G288" s="9" t="s">
        <v>925</v>
      </c>
      <c r="H288" s="9">
        <f t="shared" ref="H288:H290" si="67">YEAR(G288)</f>
        <v>2024</v>
      </c>
      <c r="I288" s="9">
        <f t="shared" si="65"/>
        <v>6</v>
      </c>
      <c r="J288" s="9" t="s">
        <v>153</v>
      </c>
      <c r="K288" s="9" t="s">
        <v>153</v>
      </c>
      <c r="L288" s="9" t="s">
        <v>341</v>
      </c>
      <c r="M288" s="14">
        <v>3</v>
      </c>
      <c r="N288" s="14">
        <v>40.549999999999997</v>
      </c>
      <c r="O288" s="9" t="s">
        <v>632</v>
      </c>
      <c r="P288" s="7" t="s">
        <v>929</v>
      </c>
      <c r="Q288" s="9" t="s">
        <v>923</v>
      </c>
      <c r="R288" s="9" t="s">
        <v>153</v>
      </c>
      <c r="S288" s="14">
        <f t="shared" si="38"/>
        <v>152</v>
      </c>
      <c r="T288" s="10">
        <v>258</v>
      </c>
    </row>
    <row r="289" spans="1:20" x14ac:dyDescent="0.2">
      <c r="A289" s="7" t="s">
        <v>930</v>
      </c>
      <c r="B289" s="14">
        <v>2022</v>
      </c>
      <c r="C289" s="9" t="s">
        <v>21</v>
      </c>
      <c r="D289" s="9" t="s">
        <v>4</v>
      </c>
      <c r="E289" s="9" t="s">
        <v>634</v>
      </c>
      <c r="F289" s="14">
        <v>365</v>
      </c>
      <c r="G289" s="9" t="s">
        <v>931</v>
      </c>
      <c r="H289" s="9">
        <f t="shared" si="67"/>
        <v>2024</v>
      </c>
      <c r="I289" s="9">
        <f t="shared" si="65"/>
        <v>6</v>
      </c>
      <c r="J289" s="9" t="s">
        <v>153</v>
      </c>
      <c r="K289" s="9" t="s">
        <v>153</v>
      </c>
      <c r="L289" s="9" t="s">
        <v>341</v>
      </c>
      <c r="M289" s="14">
        <v>1</v>
      </c>
      <c r="N289" s="14">
        <v>49.15</v>
      </c>
      <c r="O289" s="9" t="s">
        <v>632</v>
      </c>
      <c r="P289" s="12" t="s">
        <v>932</v>
      </c>
      <c r="Q289" s="9" t="s">
        <v>1199</v>
      </c>
      <c r="R289" s="9" t="s">
        <v>153</v>
      </c>
      <c r="S289" s="14">
        <f t="shared" si="38"/>
        <v>160</v>
      </c>
      <c r="T289" s="10">
        <v>78</v>
      </c>
    </row>
    <row r="290" spans="1:20" x14ac:dyDescent="0.2">
      <c r="A290" s="7" t="s">
        <v>933</v>
      </c>
      <c r="B290" s="14">
        <v>2023</v>
      </c>
      <c r="C290" s="9" t="s">
        <v>21</v>
      </c>
      <c r="D290" s="9" t="s">
        <v>4</v>
      </c>
      <c r="E290" s="9" t="s">
        <v>634</v>
      </c>
      <c r="F290" s="14">
        <v>340</v>
      </c>
      <c r="G290" s="9" t="s">
        <v>934</v>
      </c>
      <c r="H290" s="9">
        <f t="shared" si="67"/>
        <v>2024</v>
      </c>
      <c r="I290" s="9">
        <f t="shared" si="65"/>
        <v>7</v>
      </c>
      <c r="J290" s="9" t="s">
        <v>153</v>
      </c>
      <c r="K290" s="9" t="s">
        <v>153</v>
      </c>
      <c r="L290" s="9" t="s">
        <v>345</v>
      </c>
      <c r="M290" s="14">
        <v>2</v>
      </c>
      <c r="N290" s="14">
        <v>50.21</v>
      </c>
      <c r="O290" s="9" t="s">
        <v>632</v>
      </c>
      <c r="P290" s="7" t="s">
        <v>935</v>
      </c>
      <c r="Q290" s="9" t="s">
        <v>442</v>
      </c>
      <c r="R290" s="9" t="s">
        <v>153</v>
      </c>
      <c r="S290" s="14">
        <f t="shared" si="38"/>
        <v>64</v>
      </c>
      <c r="T290" s="10">
        <v>358</v>
      </c>
    </row>
    <row r="291" spans="1:20" x14ac:dyDescent="0.2">
      <c r="A291" s="7" t="s">
        <v>936</v>
      </c>
      <c r="B291" s="14">
        <v>2023</v>
      </c>
      <c r="C291" s="9" t="s">
        <v>21</v>
      </c>
      <c r="D291" s="9" t="s">
        <v>4</v>
      </c>
      <c r="E291" s="9" t="s">
        <v>634</v>
      </c>
      <c r="F291" s="14">
        <v>600</v>
      </c>
      <c r="G291" s="9" t="s">
        <v>937</v>
      </c>
      <c r="H291" s="9">
        <f t="shared" ref="H291" si="68">YEAR(G291)</f>
        <v>2024</v>
      </c>
      <c r="I291" s="9">
        <f t="shared" ref="I291" si="69">MONTH(G291)</f>
        <v>7</v>
      </c>
      <c r="J291" s="9" t="s">
        <v>153</v>
      </c>
      <c r="K291" s="9" t="s">
        <v>153</v>
      </c>
      <c r="L291" s="9" t="s">
        <v>341</v>
      </c>
      <c r="M291" s="14">
        <v>2</v>
      </c>
      <c r="N291" s="14">
        <v>43.13</v>
      </c>
      <c r="O291" s="9" t="s">
        <v>632</v>
      </c>
      <c r="P291" s="7" t="s">
        <v>938</v>
      </c>
      <c r="Q291" s="9" t="s">
        <v>442</v>
      </c>
      <c r="R291" s="9" t="s">
        <v>153</v>
      </c>
      <c r="S291" s="14">
        <f t="shared" si="38"/>
        <v>106</v>
      </c>
      <c r="T291" s="10">
        <v>487</v>
      </c>
    </row>
    <row r="292" spans="1:20" x14ac:dyDescent="0.2">
      <c r="A292" s="7" t="s">
        <v>939</v>
      </c>
      <c r="B292" s="14">
        <v>2024</v>
      </c>
      <c r="C292" s="9" t="s">
        <v>21</v>
      </c>
      <c r="D292" s="9" t="s">
        <v>4</v>
      </c>
      <c r="E292" s="9" t="s">
        <v>634</v>
      </c>
      <c r="F292" s="14">
        <v>289</v>
      </c>
      <c r="G292" s="9" t="s">
        <v>937</v>
      </c>
      <c r="H292" s="9">
        <f t="shared" ref="H292" si="70">YEAR(G292)</f>
        <v>2024</v>
      </c>
      <c r="I292" s="9">
        <f t="shared" ref="I292" si="71">MONTH(G292)</f>
        <v>7</v>
      </c>
      <c r="J292" s="9" t="s">
        <v>153</v>
      </c>
      <c r="K292" s="9" t="s">
        <v>153</v>
      </c>
      <c r="L292" s="9" t="s">
        <v>346</v>
      </c>
      <c r="M292" s="14">
        <v>1</v>
      </c>
      <c r="N292" s="14">
        <v>49.71</v>
      </c>
      <c r="O292" s="9" t="s">
        <v>632</v>
      </c>
      <c r="P292" s="7" t="s">
        <v>940</v>
      </c>
      <c r="Q292" s="9" t="s">
        <v>538</v>
      </c>
      <c r="R292" s="9" t="s">
        <v>153</v>
      </c>
      <c r="S292" s="14">
        <f t="shared" si="38"/>
        <v>224</v>
      </c>
      <c r="T292" s="10">
        <v>58</v>
      </c>
    </row>
    <row r="293" spans="1:20" x14ac:dyDescent="0.2">
      <c r="A293" s="7" t="s">
        <v>941</v>
      </c>
      <c r="B293" s="14">
        <v>2024</v>
      </c>
      <c r="C293" s="9" t="s">
        <v>21</v>
      </c>
      <c r="D293" s="9" t="s">
        <v>4</v>
      </c>
      <c r="E293" s="9" t="s">
        <v>634</v>
      </c>
      <c r="F293" s="14">
        <v>198</v>
      </c>
      <c r="G293" s="9" t="s">
        <v>937</v>
      </c>
      <c r="H293" s="9">
        <f t="shared" ref="H293" si="72">YEAR(G293)</f>
        <v>2024</v>
      </c>
      <c r="I293" s="9">
        <f t="shared" ref="I293" si="73">MONTH(G293)</f>
        <v>7</v>
      </c>
      <c r="J293" s="9" t="s">
        <v>153</v>
      </c>
      <c r="K293" s="9" t="s">
        <v>153</v>
      </c>
      <c r="L293" s="9" t="s">
        <v>343</v>
      </c>
      <c r="M293" s="14">
        <v>2</v>
      </c>
      <c r="N293" s="14">
        <v>22.94</v>
      </c>
      <c r="O293" s="9" t="s">
        <v>632</v>
      </c>
      <c r="P293" s="12" t="s">
        <v>942</v>
      </c>
      <c r="Q293" s="9" t="s">
        <v>923</v>
      </c>
      <c r="R293" s="9" t="s">
        <v>153</v>
      </c>
      <c r="S293" s="14">
        <f t="shared" si="38"/>
        <v>233</v>
      </c>
      <c r="T293" s="10">
        <v>134</v>
      </c>
    </row>
    <row r="294" spans="1:20" x14ac:dyDescent="0.2">
      <c r="A294" s="7" t="s">
        <v>943</v>
      </c>
      <c r="B294" s="14">
        <v>2024</v>
      </c>
      <c r="C294" s="9" t="s">
        <v>21</v>
      </c>
      <c r="D294" s="9" t="s">
        <v>4</v>
      </c>
      <c r="E294" s="9" t="s">
        <v>634</v>
      </c>
      <c r="F294" s="14">
        <v>224</v>
      </c>
      <c r="G294" s="9" t="s">
        <v>937</v>
      </c>
      <c r="H294" s="9">
        <f t="shared" ref="H294" si="74">YEAR(G294)</f>
        <v>2024</v>
      </c>
      <c r="I294" s="9">
        <f t="shared" ref="I294" si="75">MONTH(G294)</f>
        <v>7</v>
      </c>
      <c r="J294" s="9" t="s">
        <v>153</v>
      </c>
      <c r="K294" s="9" t="s">
        <v>153</v>
      </c>
      <c r="L294" s="9" t="s">
        <v>352</v>
      </c>
      <c r="M294" s="14">
        <v>1</v>
      </c>
      <c r="N294" s="14">
        <v>16.690000000000001</v>
      </c>
      <c r="O294" s="9" t="s">
        <v>632</v>
      </c>
      <c r="P294" s="12" t="s">
        <v>944</v>
      </c>
      <c r="Q294" s="9" t="s">
        <v>923</v>
      </c>
      <c r="R294" s="9" t="s">
        <v>153</v>
      </c>
      <c r="S294" s="14">
        <f t="shared" si="38"/>
        <v>186</v>
      </c>
      <c r="T294" s="10">
        <v>66</v>
      </c>
    </row>
    <row r="295" spans="1:20" x14ac:dyDescent="0.2">
      <c r="A295" s="7" t="s">
        <v>945</v>
      </c>
      <c r="B295" s="14">
        <v>2022</v>
      </c>
      <c r="C295" s="9" t="s">
        <v>21</v>
      </c>
      <c r="D295" s="9" t="s">
        <v>4</v>
      </c>
      <c r="E295" s="9" t="s">
        <v>634</v>
      </c>
      <c r="F295" s="14">
        <v>296</v>
      </c>
      <c r="G295" s="9" t="s">
        <v>946</v>
      </c>
      <c r="H295" s="9">
        <f t="shared" ref="H295" si="76">YEAR(G295)</f>
        <v>2024</v>
      </c>
      <c r="I295" s="9">
        <f t="shared" ref="I295" si="77">MONTH(G295)</f>
        <v>7</v>
      </c>
      <c r="J295" s="9" t="s">
        <v>153</v>
      </c>
      <c r="K295" s="9" t="s">
        <v>153</v>
      </c>
      <c r="L295" s="9" t="s">
        <v>343</v>
      </c>
      <c r="M295" s="14">
        <v>3</v>
      </c>
      <c r="N295" s="14">
        <v>31.99</v>
      </c>
      <c r="O295" s="9" t="s">
        <v>632</v>
      </c>
      <c r="P295" s="12" t="s">
        <v>947</v>
      </c>
      <c r="Q295" s="9" t="s">
        <v>923</v>
      </c>
      <c r="R295" s="9" t="s">
        <v>153</v>
      </c>
      <c r="S295" s="14">
        <f t="shared" ref="S295" si="78">LEN(P295)</f>
        <v>98</v>
      </c>
      <c r="T295" s="10">
        <v>184</v>
      </c>
    </row>
    <row r="296" spans="1:20" x14ac:dyDescent="0.2">
      <c r="A296" s="7" t="s">
        <v>948</v>
      </c>
      <c r="B296" s="14">
        <v>2023</v>
      </c>
      <c r="C296" s="9" t="s">
        <v>21</v>
      </c>
      <c r="D296" s="9" t="s">
        <v>4</v>
      </c>
      <c r="E296" s="9" t="s">
        <v>634</v>
      </c>
      <c r="F296" s="14">
        <v>200</v>
      </c>
      <c r="G296" s="9" t="s">
        <v>949</v>
      </c>
      <c r="H296" s="9">
        <f t="shared" ref="H296" si="79">YEAR(G296)</f>
        <v>2024</v>
      </c>
      <c r="I296" s="9">
        <f t="shared" ref="I296" si="80">MONTH(G296)</f>
        <v>7</v>
      </c>
      <c r="J296" s="9" t="s">
        <v>153</v>
      </c>
      <c r="K296" s="9" t="s">
        <v>153</v>
      </c>
      <c r="L296" s="9" t="s">
        <v>346</v>
      </c>
      <c r="M296" s="14">
        <v>3</v>
      </c>
      <c r="N296" s="14">
        <v>27.99</v>
      </c>
      <c r="O296" s="9" t="s">
        <v>632</v>
      </c>
      <c r="P296" s="12" t="s">
        <v>950</v>
      </c>
      <c r="Q296" s="9" t="s">
        <v>923</v>
      </c>
      <c r="R296" s="9" t="s">
        <v>153</v>
      </c>
      <c r="S296" s="14">
        <f t="shared" ref="S296" si="81">LEN(P296)</f>
        <v>57</v>
      </c>
      <c r="T296" s="10">
        <v>478</v>
      </c>
    </row>
    <row r="297" spans="1:20" x14ac:dyDescent="0.2">
      <c r="A297" s="7" t="s">
        <v>951</v>
      </c>
      <c r="B297" s="14">
        <v>2023</v>
      </c>
      <c r="C297" s="9" t="s">
        <v>21</v>
      </c>
      <c r="D297" s="9" t="s">
        <v>4</v>
      </c>
      <c r="E297" s="9" t="s">
        <v>634</v>
      </c>
      <c r="F297" s="14">
        <v>255</v>
      </c>
      <c r="G297" s="9" t="s">
        <v>949</v>
      </c>
      <c r="H297" s="9">
        <f t="shared" ref="H297" si="82">YEAR(G297)</f>
        <v>2024</v>
      </c>
      <c r="I297" s="9">
        <f t="shared" ref="I297" si="83">MONTH(G297)</f>
        <v>7</v>
      </c>
      <c r="J297" s="9" t="s">
        <v>153</v>
      </c>
      <c r="K297" s="9" t="s">
        <v>153</v>
      </c>
      <c r="L297" s="9" t="s">
        <v>570</v>
      </c>
      <c r="M297" s="14">
        <v>3</v>
      </c>
      <c r="N297" s="35">
        <v>49</v>
      </c>
      <c r="O297" s="9" t="s">
        <v>632</v>
      </c>
      <c r="P297" s="12" t="s">
        <v>953</v>
      </c>
      <c r="Q297" s="9" t="s">
        <v>442</v>
      </c>
      <c r="R297" s="9" t="s">
        <v>153</v>
      </c>
      <c r="S297" s="14">
        <f t="shared" ref="S297" si="84">LEN(P297)</f>
        <v>84</v>
      </c>
      <c r="T297" s="10">
        <v>148</v>
      </c>
    </row>
    <row r="298" spans="1:20" x14ac:dyDescent="0.2">
      <c r="A298" s="7" t="s">
        <v>954</v>
      </c>
      <c r="B298" s="14">
        <v>2023</v>
      </c>
      <c r="C298" s="9" t="s">
        <v>21</v>
      </c>
      <c r="D298" s="9" t="s">
        <v>4</v>
      </c>
      <c r="E298" s="9" t="s">
        <v>634</v>
      </c>
      <c r="F298" s="14">
        <v>192</v>
      </c>
      <c r="G298" s="9" t="s">
        <v>949</v>
      </c>
      <c r="H298" s="9">
        <f t="shared" ref="H298" si="85">YEAR(G298)</f>
        <v>2024</v>
      </c>
      <c r="I298" s="9">
        <f t="shared" ref="I298" si="86">MONTH(G298)</f>
        <v>7</v>
      </c>
      <c r="J298" s="9" t="s">
        <v>153</v>
      </c>
      <c r="K298" s="9" t="s">
        <v>153</v>
      </c>
      <c r="L298" s="9" t="s">
        <v>341</v>
      </c>
      <c r="M298" s="14">
        <v>2</v>
      </c>
      <c r="N298" s="14">
        <v>26.01</v>
      </c>
      <c r="O298" s="9" t="s">
        <v>632</v>
      </c>
      <c r="P298" s="12" t="s">
        <v>955</v>
      </c>
      <c r="Q298" s="9" t="s">
        <v>923</v>
      </c>
      <c r="R298" s="9" t="s">
        <v>153</v>
      </c>
      <c r="S298" s="14">
        <f t="shared" ref="S298:S311" si="87">LEN(P298)</f>
        <v>152</v>
      </c>
      <c r="T298" s="10">
        <v>105</v>
      </c>
    </row>
    <row r="299" spans="1:20" x14ac:dyDescent="0.2">
      <c r="A299" s="7" t="s">
        <v>956</v>
      </c>
      <c r="B299" s="14">
        <v>2015</v>
      </c>
      <c r="C299" s="9" t="s">
        <v>21</v>
      </c>
      <c r="D299" s="9" t="s">
        <v>4</v>
      </c>
      <c r="E299" s="9" t="s">
        <v>634</v>
      </c>
      <c r="F299" s="14">
        <v>96</v>
      </c>
      <c r="G299" s="9" t="s">
        <v>949</v>
      </c>
      <c r="H299" s="9">
        <f t="shared" ref="H299" si="88">YEAR(G299)</f>
        <v>2024</v>
      </c>
      <c r="I299" s="9">
        <f t="shared" ref="I299" si="89">MONTH(G299)</f>
        <v>7</v>
      </c>
      <c r="J299" s="9" t="s">
        <v>153</v>
      </c>
      <c r="K299" s="9" t="s">
        <v>153</v>
      </c>
      <c r="L299" s="9" t="s">
        <v>952</v>
      </c>
      <c r="M299" s="14">
        <v>3</v>
      </c>
      <c r="N299" s="35">
        <v>0</v>
      </c>
      <c r="O299" s="9" t="s">
        <v>632</v>
      </c>
      <c r="P299" s="22" t="s">
        <v>675</v>
      </c>
      <c r="Q299" s="9" t="s">
        <v>923</v>
      </c>
      <c r="R299" s="9" t="s">
        <v>153</v>
      </c>
      <c r="S299" s="14">
        <f t="shared" si="87"/>
        <v>26</v>
      </c>
      <c r="T299" s="10">
        <v>236</v>
      </c>
    </row>
    <row r="300" spans="1:20" x14ac:dyDescent="0.2">
      <c r="A300" s="7" t="s">
        <v>957</v>
      </c>
      <c r="B300" s="14">
        <v>2022</v>
      </c>
      <c r="C300" s="9" t="s">
        <v>21</v>
      </c>
      <c r="D300" s="9" t="s">
        <v>4</v>
      </c>
      <c r="E300" s="9" t="s">
        <v>634</v>
      </c>
      <c r="F300" s="14">
        <v>194</v>
      </c>
      <c r="G300" s="9" t="s">
        <v>958</v>
      </c>
      <c r="H300" s="9">
        <f t="shared" ref="H300" si="90">YEAR(G300)</f>
        <v>2024</v>
      </c>
      <c r="I300" s="9">
        <f t="shared" ref="I300" si="91">MONTH(G300)</f>
        <v>7</v>
      </c>
      <c r="J300" s="9" t="s">
        <v>153</v>
      </c>
      <c r="K300" s="9" t="s">
        <v>153</v>
      </c>
      <c r="L300" s="9" t="s">
        <v>952</v>
      </c>
      <c r="M300" s="14">
        <v>3</v>
      </c>
      <c r="N300" s="35">
        <v>0</v>
      </c>
      <c r="O300" s="9" t="s">
        <v>632</v>
      </c>
      <c r="P300" s="22" t="s">
        <v>959</v>
      </c>
      <c r="Q300" s="9" t="s">
        <v>923</v>
      </c>
      <c r="R300" s="9" t="s">
        <v>153</v>
      </c>
      <c r="S300" s="14">
        <f t="shared" si="87"/>
        <v>38</v>
      </c>
      <c r="T300" s="10">
        <v>256</v>
      </c>
    </row>
    <row r="301" spans="1:20" x14ac:dyDescent="0.2">
      <c r="A301" s="7" t="s">
        <v>960</v>
      </c>
      <c r="B301" s="14">
        <v>2018</v>
      </c>
      <c r="C301" s="9" t="s">
        <v>21</v>
      </c>
      <c r="D301" s="9" t="s">
        <v>4</v>
      </c>
      <c r="E301" s="9" t="s">
        <v>634</v>
      </c>
      <c r="F301" s="14">
        <v>188</v>
      </c>
      <c r="G301" s="9" t="s">
        <v>961</v>
      </c>
      <c r="H301" s="9">
        <f t="shared" ref="H301:H303" si="92">YEAR(G301)</f>
        <v>2024</v>
      </c>
      <c r="I301" s="9">
        <f t="shared" ref="I301:I303" si="93">MONTH(G301)</f>
        <v>7</v>
      </c>
      <c r="J301" s="9" t="s">
        <v>152</v>
      </c>
      <c r="K301" s="9" t="s">
        <v>153</v>
      </c>
      <c r="L301" s="9" t="s">
        <v>962</v>
      </c>
      <c r="M301" s="14">
        <v>4</v>
      </c>
      <c r="N301" s="35">
        <v>48</v>
      </c>
      <c r="O301" s="9" t="s">
        <v>632</v>
      </c>
      <c r="P301" s="12" t="s">
        <v>963</v>
      </c>
      <c r="Q301" s="9" t="s">
        <v>442</v>
      </c>
      <c r="R301" s="9" t="s">
        <v>153</v>
      </c>
      <c r="S301" s="14">
        <f t="shared" si="87"/>
        <v>268</v>
      </c>
      <c r="T301" s="10">
        <v>576</v>
      </c>
    </row>
    <row r="302" spans="1:20" x14ac:dyDescent="0.2">
      <c r="A302" s="7" t="s">
        <v>964</v>
      </c>
      <c r="B302" s="14">
        <v>2021</v>
      </c>
      <c r="C302" s="9" t="s">
        <v>21</v>
      </c>
      <c r="D302" s="9" t="s">
        <v>4</v>
      </c>
      <c r="E302" s="9" t="s">
        <v>634</v>
      </c>
      <c r="F302" s="14">
        <v>631</v>
      </c>
      <c r="G302" s="9" t="s">
        <v>965</v>
      </c>
      <c r="H302" s="9">
        <f t="shared" si="92"/>
        <v>2024</v>
      </c>
      <c r="I302" s="9">
        <f t="shared" si="93"/>
        <v>7</v>
      </c>
      <c r="J302" s="9" t="s">
        <v>153</v>
      </c>
      <c r="K302" s="9" t="s">
        <v>153</v>
      </c>
      <c r="L302" s="9" t="s">
        <v>341</v>
      </c>
      <c r="M302" s="14">
        <v>3</v>
      </c>
      <c r="N302" s="14">
        <v>49.99</v>
      </c>
      <c r="O302" s="9" t="s">
        <v>632</v>
      </c>
      <c r="P302" s="12" t="s">
        <v>966</v>
      </c>
      <c r="Q302" s="9" t="s">
        <v>538</v>
      </c>
      <c r="R302" s="9" t="s">
        <v>153</v>
      </c>
      <c r="S302" s="14">
        <f t="shared" si="87"/>
        <v>131</v>
      </c>
      <c r="T302" s="10">
        <v>708</v>
      </c>
    </row>
    <row r="303" spans="1:20" x14ac:dyDescent="0.2">
      <c r="A303" s="7" t="s">
        <v>967</v>
      </c>
      <c r="B303" s="14">
        <v>2023</v>
      </c>
      <c r="C303" s="9" t="s">
        <v>21</v>
      </c>
      <c r="D303" s="9" t="s">
        <v>4</v>
      </c>
      <c r="E303" s="9" t="s">
        <v>634</v>
      </c>
      <c r="F303" s="14">
        <v>318</v>
      </c>
      <c r="G303" s="9" t="s">
        <v>968</v>
      </c>
      <c r="H303" s="9">
        <f t="shared" si="92"/>
        <v>2024</v>
      </c>
      <c r="I303" s="9">
        <f t="shared" si="93"/>
        <v>7</v>
      </c>
      <c r="J303" s="9" t="s">
        <v>153</v>
      </c>
      <c r="K303" s="9" t="s">
        <v>153</v>
      </c>
      <c r="L303" s="9" t="s">
        <v>341</v>
      </c>
      <c r="M303" s="14">
        <v>1</v>
      </c>
      <c r="N303" s="14">
        <v>49.99</v>
      </c>
      <c r="O303" s="9" t="s">
        <v>632</v>
      </c>
      <c r="P303" s="12" t="s">
        <v>969</v>
      </c>
      <c r="Q303" s="9" t="s">
        <v>1188</v>
      </c>
      <c r="R303" s="9" t="s">
        <v>153</v>
      </c>
      <c r="S303" s="14">
        <f t="shared" si="87"/>
        <v>77</v>
      </c>
      <c r="T303" s="10">
        <v>143</v>
      </c>
    </row>
    <row r="304" spans="1:20" x14ac:dyDescent="0.2">
      <c r="A304" s="7" t="s">
        <v>970</v>
      </c>
      <c r="B304" s="14">
        <v>2023</v>
      </c>
      <c r="C304" s="9" t="s">
        <v>21</v>
      </c>
      <c r="D304" s="9" t="s">
        <v>4</v>
      </c>
      <c r="E304" s="9" t="s">
        <v>634</v>
      </c>
      <c r="F304" s="14">
        <v>298</v>
      </c>
      <c r="G304" s="9" t="s">
        <v>971</v>
      </c>
      <c r="H304" s="9">
        <f t="shared" ref="H304" si="94">YEAR(G304)</f>
        <v>2024</v>
      </c>
      <c r="I304" s="9">
        <f t="shared" ref="I304" si="95">MONTH(G304)</f>
        <v>7</v>
      </c>
      <c r="J304" s="9" t="s">
        <v>153</v>
      </c>
      <c r="K304" s="9" t="s">
        <v>153</v>
      </c>
      <c r="L304" s="9" t="s">
        <v>343</v>
      </c>
      <c r="M304" s="14">
        <v>1</v>
      </c>
      <c r="N304" s="14">
        <v>65.989999999999995</v>
      </c>
      <c r="O304" s="9" t="s">
        <v>632</v>
      </c>
      <c r="P304" s="12" t="s">
        <v>972</v>
      </c>
      <c r="Q304" s="9" t="s">
        <v>1188</v>
      </c>
      <c r="R304" s="9" t="s">
        <v>153</v>
      </c>
      <c r="S304" s="14">
        <f t="shared" si="87"/>
        <v>55</v>
      </c>
      <c r="T304" s="10">
        <v>105</v>
      </c>
    </row>
    <row r="305" spans="1:20" x14ac:dyDescent="0.2">
      <c r="A305" s="7" t="s">
        <v>973</v>
      </c>
      <c r="B305" s="14">
        <v>2023</v>
      </c>
      <c r="C305" s="9" t="s">
        <v>21</v>
      </c>
      <c r="D305" s="9" t="s">
        <v>4</v>
      </c>
      <c r="E305" s="9" t="s">
        <v>634</v>
      </c>
      <c r="F305" s="14">
        <v>636</v>
      </c>
      <c r="G305" s="9" t="s">
        <v>974</v>
      </c>
      <c r="H305" s="9">
        <f t="shared" ref="H305" si="96">YEAR(G305)</f>
        <v>2024</v>
      </c>
      <c r="I305" s="9">
        <f t="shared" ref="I305" si="97">MONTH(G305)</f>
        <v>7</v>
      </c>
      <c r="J305" s="9" t="s">
        <v>153</v>
      </c>
      <c r="K305" s="9" t="s">
        <v>153</v>
      </c>
      <c r="L305" s="9" t="s">
        <v>346</v>
      </c>
      <c r="M305" s="14">
        <v>1</v>
      </c>
      <c r="N305" s="14">
        <v>39.99</v>
      </c>
      <c r="O305" s="9" t="s">
        <v>632</v>
      </c>
      <c r="P305" s="12" t="s">
        <v>972</v>
      </c>
      <c r="Q305" s="9" t="s">
        <v>538</v>
      </c>
      <c r="R305" s="9" t="s">
        <v>153</v>
      </c>
      <c r="S305" s="14">
        <f t="shared" si="87"/>
        <v>55</v>
      </c>
      <c r="T305" s="10">
        <v>15</v>
      </c>
    </row>
    <row r="306" spans="1:20" x14ac:dyDescent="0.2">
      <c r="A306" s="12" t="s">
        <v>975</v>
      </c>
      <c r="B306" s="14">
        <v>2023</v>
      </c>
      <c r="C306" s="9" t="s">
        <v>21</v>
      </c>
      <c r="D306" s="9" t="s">
        <v>4</v>
      </c>
      <c r="E306" s="9" t="s">
        <v>634</v>
      </c>
      <c r="F306" s="14">
        <v>218</v>
      </c>
      <c r="G306" s="9" t="s">
        <v>974</v>
      </c>
      <c r="H306" s="9">
        <f t="shared" ref="H306" si="98">YEAR(G306)</f>
        <v>2024</v>
      </c>
      <c r="I306" s="9">
        <f t="shared" ref="I306" si="99">MONTH(G306)</f>
        <v>7</v>
      </c>
      <c r="J306" s="9" t="s">
        <v>153</v>
      </c>
      <c r="K306" s="9" t="s">
        <v>153</v>
      </c>
      <c r="L306" s="9" t="s">
        <v>570</v>
      </c>
      <c r="M306" s="14">
        <v>1</v>
      </c>
      <c r="N306" s="14">
        <v>19.989999999999998</v>
      </c>
      <c r="O306" s="9" t="s">
        <v>632</v>
      </c>
      <c r="P306" s="12" t="s">
        <v>976</v>
      </c>
      <c r="Q306" s="9" t="s">
        <v>538</v>
      </c>
      <c r="R306" s="9" t="s">
        <v>153</v>
      </c>
      <c r="S306" s="14">
        <f t="shared" si="87"/>
        <v>247</v>
      </c>
      <c r="T306" s="10">
        <v>50</v>
      </c>
    </row>
    <row r="307" spans="1:20" x14ac:dyDescent="0.2">
      <c r="A307" s="7" t="s">
        <v>977</v>
      </c>
      <c r="B307" s="14">
        <v>2022</v>
      </c>
      <c r="C307" s="9" t="s">
        <v>21</v>
      </c>
      <c r="D307" s="9" t="s">
        <v>4</v>
      </c>
      <c r="E307" s="9" t="s">
        <v>634</v>
      </c>
      <c r="F307" s="14">
        <v>464</v>
      </c>
      <c r="G307" s="9" t="s">
        <v>978</v>
      </c>
      <c r="H307" s="9">
        <f t="shared" ref="H307" si="100">YEAR(G307)</f>
        <v>2024</v>
      </c>
      <c r="I307" s="9">
        <f t="shared" ref="I307" si="101">MONTH(G307)</f>
        <v>7</v>
      </c>
      <c r="J307" s="9" t="s">
        <v>153</v>
      </c>
      <c r="K307" s="9" t="s">
        <v>152</v>
      </c>
      <c r="L307" s="9" t="s">
        <v>842</v>
      </c>
      <c r="M307" s="14">
        <v>3</v>
      </c>
      <c r="N307" s="14">
        <v>24.95</v>
      </c>
      <c r="O307" s="9" t="s">
        <v>632</v>
      </c>
      <c r="P307" s="12" t="s">
        <v>979</v>
      </c>
      <c r="Q307" s="9" t="s">
        <v>538</v>
      </c>
      <c r="R307" s="9" t="s">
        <v>153</v>
      </c>
      <c r="S307" s="14">
        <f t="shared" si="87"/>
        <v>229</v>
      </c>
      <c r="T307" s="10">
        <v>248</v>
      </c>
    </row>
    <row r="308" spans="1:20" x14ac:dyDescent="0.2">
      <c r="A308" s="7" t="s">
        <v>980</v>
      </c>
      <c r="B308" s="14">
        <v>2023</v>
      </c>
      <c r="C308" s="9" t="s">
        <v>21</v>
      </c>
      <c r="D308" s="9" t="s">
        <v>4</v>
      </c>
      <c r="E308" s="9" t="s">
        <v>634</v>
      </c>
      <c r="F308" s="14">
        <v>58</v>
      </c>
      <c r="G308" s="9" t="s">
        <v>978</v>
      </c>
      <c r="H308" s="9">
        <f t="shared" ref="H308" si="102">YEAR(G308)</f>
        <v>2024</v>
      </c>
      <c r="I308" s="9">
        <f t="shared" ref="I308" si="103">MONTH(G308)</f>
        <v>7</v>
      </c>
      <c r="J308" s="9" t="s">
        <v>153</v>
      </c>
      <c r="K308" s="9" t="s">
        <v>153</v>
      </c>
      <c r="L308" s="9" t="s">
        <v>570</v>
      </c>
      <c r="M308" s="14">
        <v>2</v>
      </c>
      <c r="N308" s="14">
        <v>14.95</v>
      </c>
      <c r="O308" s="9" t="s">
        <v>632</v>
      </c>
      <c r="P308" s="22" t="s">
        <v>981</v>
      </c>
      <c r="Q308" s="9" t="s">
        <v>919</v>
      </c>
      <c r="R308" s="9" t="s">
        <v>153</v>
      </c>
      <c r="S308" s="14">
        <f t="shared" si="87"/>
        <v>45</v>
      </c>
      <c r="T308" s="10">
        <v>56</v>
      </c>
    </row>
    <row r="309" spans="1:20" x14ac:dyDescent="0.2">
      <c r="A309" s="7" t="s">
        <v>982</v>
      </c>
      <c r="B309" s="14">
        <v>2023</v>
      </c>
      <c r="C309" s="9" t="s">
        <v>21</v>
      </c>
      <c r="D309" s="9" t="s">
        <v>4</v>
      </c>
      <c r="E309" s="9" t="s">
        <v>634</v>
      </c>
      <c r="F309" s="14">
        <v>161</v>
      </c>
      <c r="G309" s="9" t="s">
        <v>978</v>
      </c>
      <c r="H309" s="9">
        <f t="shared" ref="H309" si="104">YEAR(G309)</f>
        <v>2024</v>
      </c>
      <c r="I309" s="9">
        <f t="shared" ref="I309" si="105">MONTH(G309)</f>
        <v>7</v>
      </c>
      <c r="J309" s="9" t="s">
        <v>153</v>
      </c>
      <c r="K309" s="9" t="s">
        <v>153</v>
      </c>
      <c r="L309" s="9" t="s">
        <v>353</v>
      </c>
      <c r="M309" s="14">
        <v>2</v>
      </c>
      <c r="N309" s="35">
        <v>35</v>
      </c>
      <c r="O309" s="9" t="s">
        <v>632</v>
      </c>
      <c r="P309" s="7" t="s">
        <v>983</v>
      </c>
      <c r="Q309" s="9" t="s">
        <v>1199</v>
      </c>
      <c r="R309" s="9" t="s">
        <v>153</v>
      </c>
      <c r="S309" s="14">
        <f t="shared" si="87"/>
        <v>103</v>
      </c>
      <c r="T309" s="10">
        <v>135</v>
      </c>
    </row>
    <row r="310" spans="1:20" x14ac:dyDescent="0.2">
      <c r="A310" s="7" t="s">
        <v>984</v>
      </c>
      <c r="B310" s="14">
        <v>2023</v>
      </c>
      <c r="C310" s="9" t="s">
        <v>21</v>
      </c>
      <c r="D310" s="9" t="s">
        <v>4</v>
      </c>
      <c r="E310" s="9" t="s">
        <v>634</v>
      </c>
      <c r="F310" s="14">
        <v>331</v>
      </c>
      <c r="G310" s="9" t="s">
        <v>978</v>
      </c>
      <c r="H310" s="9">
        <f t="shared" ref="H310" si="106">YEAR(G310)</f>
        <v>2024</v>
      </c>
      <c r="I310" s="9">
        <f t="shared" ref="I310" si="107">MONTH(G310)</f>
        <v>7</v>
      </c>
      <c r="J310" s="9" t="s">
        <v>153</v>
      </c>
      <c r="K310" s="9" t="s">
        <v>153</v>
      </c>
      <c r="L310" s="9" t="s">
        <v>345</v>
      </c>
      <c r="M310" s="14">
        <v>2</v>
      </c>
      <c r="N310" s="35">
        <v>35.700000000000003</v>
      </c>
      <c r="O310" s="9" t="s">
        <v>632</v>
      </c>
      <c r="P310" s="12" t="s">
        <v>985</v>
      </c>
      <c r="Q310" s="9" t="s">
        <v>442</v>
      </c>
      <c r="R310" s="9" t="s">
        <v>153</v>
      </c>
      <c r="S310" s="14">
        <f t="shared" si="87"/>
        <v>176</v>
      </c>
      <c r="T310" s="10">
        <v>67</v>
      </c>
    </row>
    <row r="311" spans="1:20" x14ac:dyDescent="0.2">
      <c r="A311" s="7" t="s">
        <v>986</v>
      </c>
      <c r="B311" s="14">
        <v>2024</v>
      </c>
      <c r="C311" s="9" t="s">
        <v>21</v>
      </c>
      <c r="D311" s="9" t="s">
        <v>4</v>
      </c>
      <c r="E311" s="9" t="s">
        <v>634</v>
      </c>
      <c r="F311" s="14">
        <v>179</v>
      </c>
      <c r="G311" s="9" t="s">
        <v>989</v>
      </c>
      <c r="H311" s="9">
        <f t="shared" ref="H311" si="108">YEAR(G311)</f>
        <v>2024</v>
      </c>
      <c r="I311" s="9">
        <f t="shared" ref="I311" si="109">MONTH(G311)</f>
        <v>7</v>
      </c>
      <c r="J311" s="9" t="s">
        <v>153</v>
      </c>
      <c r="K311" s="9" t="s">
        <v>153</v>
      </c>
      <c r="L311" s="9" t="s">
        <v>570</v>
      </c>
      <c r="M311" s="14">
        <v>3</v>
      </c>
      <c r="N311" s="35">
        <v>0</v>
      </c>
      <c r="O311" s="9" t="s">
        <v>632</v>
      </c>
      <c r="P311" s="7" t="s">
        <v>987</v>
      </c>
      <c r="Q311" s="9" t="s">
        <v>470</v>
      </c>
      <c r="R311" s="9" t="s">
        <v>153</v>
      </c>
      <c r="S311" s="14">
        <f t="shared" si="87"/>
        <v>218</v>
      </c>
      <c r="T311" s="10">
        <v>496</v>
      </c>
    </row>
    <row r="312" spans="1:20" x14ac:dyDescent="0.2">
      <c r="A312" s="7" t="s">
        <v>988</v>
      </c>
      <c r="B312" s="14">
        <v>2024</v>
      </c>
      <c r="C312" s="9" t="s">
        <v>21</v>
      </c>
      <c r="D312" s="9" t="s">
        <v>4</v>
      </c>
      <c r="E312" s="9" t="s">
        <v>634</v>
      </c>
      <c r="F312" s="14">
        <v>123</v>
      </c>
      <c r="G312" s="9" t="s">
        <v>990</v>
      </c>
      <c r="H312" s="9">
        <f t="shared" ref="H312" si="110">YEAR(G312)</f>
        <v>2024</v>
      </c>
      <c r="I312" s="9">
        <f t="shared" ref="I312" si="111">MONTH(G312)</f>
        <v>8</v>
      </c>
      <c r="J312" s="9" t="s">
        <v>153</v>
      </c>
      <c r="K312" s="9" t="s">
        <v>153</v>
      </c>
      <c r="L312" s="9" t="s">
        <v>570</v>
      </c>
      <c r="M312" s="14">
        <v>1</v>
      </c>
      <c r="N312" s="35">
        <v>40</v>
      </c>
      <c r="O312" s="9" t="s">
        <v>632</v>
      </c>
      <c r="P312" s="7" t="s">
        <v>991</v>
      </c>
      <c r="Q312" s="9" t="s">
        <v>470</v>
      </c>
      <c r="R312" s="9" t="s">
        <v>153</v>
      </c>
      <c r="S312" s="14">
        <f t="shared" ref="S312:S320" si="112">LEN(P312)</f>
        <v>88</v>
      </c>
      <c r="T312" s="10">
        <v>42</v>
      </c>
    </row>
    <row r="313" spans="1:20" x14ac:dyDescent="0.2">
      <c r="A313" s="7" t="s">
        <v>992</v>
      </c>
      <c r="B313" s="14">
        <v>2024</v>
      </c>
      <c r="C313" s="9" t="s">
        <v>21</v>
      </c>
      <c r="D313" s="9" t="s">
        <v>4</v>
      </c>
      <c r="E313" s="9" t="s">
        <v>634</v>
      </c>
      <c r="F313" s="14">
        <v>368</v>
      </c>
      <c r="G313" s="9" t="s">
        <v>993</v>
      </c>
      <c r="H313" s="9">
        <f t="shared" ref="H313" si="113">YEAR(G313)</f>
        <v>2024</v>
      </c>
      <c r="I313" s="9">
        <f t="shared" ref="I313" si="114">MONTH(G313)</f>
        <v>8</v>
      </c>
      <c r="J313" s="9" t="s">
        <v>153</v>
      </c>
      <c r="K313" s="9" t="s">
        <v>152</v>
      </c>
      <c r="L313" s="9" t="s">
        <v>341</v>
      </c>
      <c r="M313" s="14">
        <v>4</v>
      </c>
      <c r="N313" s="14">
        <v>43.13</v>
      </c>
      <c r="O313" s="9" t="s">
        <v>632</v>
      </c>
      <c r="P313" s="7" t="s">
        <v>994</v>
      </c>
      <c r="Q313" s="9" t="s">
        <v>919</v>
      </c>
      <c r="R313" s="9" t="s">
        <v>153</v>
      </c>
      <c r="S313" s="14">
        <f t="shared" si="112"/>
        <v>231</v>
      </c>
      <c r="T313" s="10">
        <v>1374</v>
      </c>
    </row>
    <row r="314" spans="1:20" x14ac:dyDescent="0.2">
      <c r="A314" s="7" t="s">
        <v>997</v>
      </c>
      <c r="B314" s="14">
        <v>2021</v>
      </c>
      <c r="C314" s="9" t="s">
        <v>21</v>
      </c>
      <c r="D314" s="9" t="s">
        <v>4</v>
      </c>
      <c r="E314" s="9" t="s">
        <v>634</v>
      </c>
      <c r="F314" s="14">
        <v>323</v>
      </c>
      <c r="G314" s="9" t="s">
        <v>998</v>
      </c>
      <c r="H314" s="9">
        <f t="shared" ref="H314" si="115">YEAR(G314)</f>
        <v>2024</v>
      </c>
      <c r="I314" s="9">
        <f t="shared" ref="I314" si="116">MONTH(G314)</f>
        <v>11</v>
      </c>
      <c r="J314" s="9" t="s">
        <v>153</v>
      </c>
      <c r="K314" s="9" t="s">
        <v>153</v>
      </c>
      <c r="L314" s="9" t="s">
        <v>341</v>
      </c>
      <c r="M314" s="14">
        <v>3</v>
      </c>
      <c r="N314" s="14">
        <v>48.99</v>
      </c>
      <c r="O314" s="9" t="s">
        <v>632</v>
      </c>
      <c r="P314" s="7" t="s">
        <v>999</v>
      </c>
      <c r="Q314" s="9" t="s">
        <v>538</v>
      </c>
      <c r="R314" s="9" t="s">
        <v>153</v>
      </c>
      <c r="S314" s="14">
        <f t="shared" si="112"/>
        <v>63</v>
      </c>
      <c r="T314" s="10">
        <v>337</v>
      </c>
    </row>
    <row r="315" spans="1:20" x14ac:dyDescent="0.2">
      <c r="A315" s="7" t="s">
        <v>1000</v>
      </c>
      <c r="B315" s="14">
        <v>2022</v>
      </c>
      <c r="C315" s="9" t="s">
        <v>21</v>
      </c>
      <c r="D315" s="9" t="s">
        <v>4</v>
      </c>
      <c r="E315" s="9" t="s">
        <v>634</v>
      </c>
      <c r="F315" s="14">
        <v>426</v>
      </c>
      <c r="G315" s="9" t="s">
        <v>998</v>
      </c>
      <c r="H315" s="9">
        <f t="shared" ref="H315:H316" si="117">YEAR(G315)</f>
        <v>2024</v>
      </c>
      <c r="I315" s="9">
        <f t="shared" ref="I315:I316" si="118">MONTH(G315)</f>
        <v>11</v>
      </c>
      <c r="J315" s="9" t="s">
        <v>153</v>
      </c>
      <c r="K315" s="9" t="s">
        <v>153</v>
      </c>
      <c r="L315" s="9" t="s">
        <v>345</v>
      </c>
      <c r="M315" s="14">
        <v>3</v>
      </c>
      <c r="N315" s="14">
        <v>59.99</v>
      </c>
      <c r="O315" s="9" t="s">
        <v>632</v>
      </c>
      <c r="P315" s="7" t="s">
        <v>1001</v>
      </c>
      <c r="Q315" s="9" t="s">
        <v>442</v>
      </c>
      <c r="R315" s="9" t="s">
        <v>153</v>
      </c>
      <c r="S315" s="14">
        <f t="shared" si="112"/>
        <v>406</v>
      </c>
      <c r="T315" s="10">
        <v>272</v>
      </c>
    </row>
    <row r="316" spans="1:20" x14ac:dyDescent="0.2">
      <c r="A316" s="7" t="s">
        <v>1003</v>
      </c>
      <c r="B316" s="14">
        <v>2024</v>
      </c>
      <c r="C316" s="9" t="s">
        <v>21</v>
      </c>
      <c r="D316" s="9" t="s">
        <v>4</v>
      </c>
      <c r="E316" s="9" t="s">
        <v>634</v>
      </c>
      <c r="F316" s="14">
        <v>296</v>
      </c>
      <c r="G316" s="9" t="s">
        <v>1004</v>
      </c>
      <c r="H316" s="9">
        <f t="shared" si="117"/>
        <v>2024</v>
      </c>
      <c r="I316" s="9">
        <f t="shared" si="118"/>
        <v>11</v>
      </c>
      <c r="J316" s="9" t="s">
        <v>153</v>
      </c>
      <c r="K316" s="9" t="s">
        <v>153</v>
      </c>
      <c r="L316" s="9" t="s">
        <v>341</v>
      </c>
      <c r="M316" s="14">
        <v>2</v>
      </c>
      <c r="N316" s="14">
        <v>39.909999999999997</v>
      </c>
      <c r="O316" s="9" t="s">
        <v>632</v>
      </c>
      <c r="P316" s="12" t="s">
        <v>1005</v>
      </c>
      <c r="Q316" s="9" t="s">
        <v>538</v>
      </c>
      <c r="R316" s="9" t="s">
        <v>153</v>
      </c>
      <c r="S316" s="14">
        <f t="shared" si="112"/>
        <v>260</v>
      </c>
      <c r="T316" s="10">
        <v>336</v>
      </c>
    </row>
    <row r="317" spans="1:20" x14ac:dyDescent="0.2">
      <c r="A317" s="7" t="s">
        <v>1006</v>
      </c>
      <c r="B317" s="14">
        <v>2022</v>
      </c>
      <c r="C317" s="9" t="s">
        <v>21</v>
      </c>
      <c r="D317" s="9" t="s">
        <v>4</v>
      </c>
      <c r="E317" s="9" t="s">
        <v>634</v>
      </c>
      <c r="F317" s="14">
        <v>363</v>
      </c>
      <c r="G317" s="9" t="s">
        <v>1007</v>
      </c>
      <c r="H317" s="9">
        <f t="shared" ref="H317" si="119">YEAR(G317)</f>
        <v>2024</v>
      </c>
      <c r="I317" s="9">
        <f t="shared" ref="I317" si="120">MONTH(G317)</f>
        <v>11</v>
      </c>
      <c r="J317" s="9" t="s">
        <v>153</v>
      </c>
      <c r="K317" s="9" t="s">
        <v>153</v>
      </c>
      <c r="L317" s="9" t="s">
        <v>363</v>
      </c>
      <c r="M317" s="14">
        <v>2</v>
      </c>
      <c r="N317" s="14">
        <v>59.99</v>
      </c>
      <c r="O317" s="9" t="s">
        <v>632</v>
      </c>
      <c r="P317" s="7" t="s">
        <v>1008</v>
      </c>
      <c r="Q317" s="9" t="s">
        <v>1009</v>
      </c>
      <c r="R317" s="9" t="s">
        <v>153</v>
      </c>
      <c r="S317" s="14">
        <f t="shared" si="112"/>
        <v>66</v>
      </c>
      <c r="T317" s="10">
        <v>868</v>
      </c>
    </row>
    <row r="318" spans="1:20" x14ac:dyDescent="0.2">
      <c r="A318" s="7" t="s">
        <v>1010</v>
      </c>
      <c r="B318" s="14">
        <v>2023</v>
      </c>
      <c r="C318" s="9" t="s">
        <v>21</v>
      </c>
      <c r="D318" s="9" t="s">
        <v>4</v>
      </c>
      <c r="E318" s="9" t="s">
        <v>634</v>
      </c>
      <c r="F318" s="14">
        <v>434</v>
      </c>
      <c r="G318" s="9" t="s">
        <v>1007</v>
      </c>
      <c r="H318" s="9">
        <f t="shared" ref="H318" si="121">YEAR(G318)</f>
        <v>2024</v>
      </c>
      <c r="I318" s="9">
        <f t="shared" ref="I318" si="122">MONTH(G318)</f>
        <v>11</v>
      </c>
      <c r="J318" s="9" t="s">
        <v>153</v>
      </c>
      <c r="K318" s="9" t="s">
        <v>153</v>
      </c>
      <c r="L318" s="9" t="s">
        <v>348</v>
      </c>
      <c r="M318" s="14">
        <v>2</v>
      </c>
      <c r="N318" s="14">
        <v>54.99</v>
      </c>
      <c r="O318" s="9" t="s">
        <v>632</v>
      </c>
      <c r="P318" s="12" t="s">
        <v>1011</v>
      </c>
      <c r="Q318" s="9" t="s">
        <v>442</v>
      </c>
      <c r="R318" s="9" t="s">
        <v>153</v>
      </c>
      <c r="S318" s="14">
        <f t="shared" si="112"/>
        <v>243</v>
      </c>
      <c r="T318" s="10">
        <v>366</v>
      </c>
    </row>
    <row r="319" spans="1:20" x14ac:dyDescent="0.2">
      <c r="A319" s="7" t="s">
        <v>1012</v>
      </c>
      <c r="B319" s="14">
        <v>2024</v>
      </c>
      <c r="C319" s="9" t="s">
        <v>21</v>
      </c>
      <c r="D319" s="9" t="s">
        <v>4</v>
      </c>
      <c r="E319" s="9" t="s">
        <v>634</v>
      </c>
      <c r="F319" s="14">
        <v>490</v>
      </c>
      <c r="G319" s="9" t="s">
        <v>1021</v>
      </c>
      <c r="H319" s="9">
        <f t="shared" ref="H319" si="123">YEAR(G319)</f>
        <v>2024</v>
      </c>
      <c r="I319" s="9">
        <f t="shared" ref="I319" si="124">MONTH(G319)</f>
        <v>11</v>
      </c>
      <c r="J319" s="9" t="s">
        <v>152</v>
      </c>
      <c r="K319" s="9" t="s">
        <v>152</v>
      </c>
      <c r="L319" s="9" t="s">
        <v>345</v>
      </c>
      <c r="M319" s="14">
        <v>4</v>
      </c>
      <c r="N319" s="14">
        <v>49.99</v>
      </c>
      <c r="O319" s="9" t="s">
        <v>632</v>
      </c>
      <c r="P319" s="12" t="s">
        <v>1013</v>
      </c>
      <c r="Q319" s="9" t="s">
        <v>442</v>
      </c>
      <c r="R319" s="9" t="s">
        <v>153</v>
      </c>
      <c r="S319" s="14">
        <f t="shared" si="112"/>
        <v>379</v>
      </c>
      <c r="T319" s="10">
        <v>846</v>
      </c>
    </row>
    <row r="320" spans="1:20" x14ac:dyDescent="0.2">
      <c r="A320" s="7" t="s">
        <v>1014</v>
      </c>
      <c r="B320" s="14">
        <v>2023</v>
      </c>
      <c r="C320" s="9" t="s">
        <v>21</v>
      </c>
      <c r="D320" s="9" t="s">
        <v>4</v>
      </c>
      <c r="E320" s="9" t="s">
        <v>634</v>
      </c>
      <c r="F320" s="14">
        <v>195</v>
      </c>
      <c r="G320" s="9" t="s">
        <v>1021</v>
      </c>
      <c r="H320" s="9">
        <f t="shared" ref="H320" si="125">YEAR(G320)</f>
        <v>2024</v>
      </c>
      <c r="I320" s="9">
        <f t="shared" ref="I320" si="126">MONTH(G320)</f>
        <v>11</v>
      </c>
      <c r="J320" s="9" t="s">
        <v>153</v>
      </c>
      <c r="K320" s="9" t="s">
        <v>153</v>
      </c>
      <c r="L320" s="9" t="s">
        <v>1015</v>
      </c>
      <c r="M320" s="14">
        <v>1</v>
      </c>
      <c r="N320" s="14">
        <v>122.67</v>
      </c>
      <c r="O320" s="9" t="s">
        <v>632</v>
      </c>
      <c r="P320" s="7" t="s">
        <v>1016</v>
      </c>
      <c r="Q320" s="9" t="s">
        <v>839</v>
      </c>
      <c r="R320" s="9" t="s">
        <v>153</v>
      </c>
      <c r="S320" s="14">
        <f t="shared" si="112"/>
        <v>31</v>
      </c>
      <c r="T320" s="10">
        <v>78</v>
      </c>
    </row>
    <row r="321" spans="1:20" x14ac:dyDescent="0.2">
      <c r="A321" s="7" t="s">
        <v>1017</v>
      </c>
      <c r="B321" s="14">
        <v>2024</v>
      </c>
      <c r="C321" s="9" t="s">
        <v>21</v>
      </c>
      <c r="D321" s="9" t="s">
        <v>4</v>
      </c>
      <c r="E321" s="9" t="s">
        <v>634</v>
      </c>
      <c r="F321" s="14">
        <v>280</v>
      </c>
      <c r="G321" s="9" t="s">
        <v>1021</v>
      </c>
      <c r="H321" s="9">
        <f t="shared" ref="H321" si="127">YEAR(G321)</f>
        <v>2024</v>
      </c>
      <c r="I321" s="9">
        <f t="shared" ref="I321" si="128">MONTH(G321)</f>
        <v>11</v>
      </c>
      <c r="J321" s="9" t="s">
        <v>153</v>
      </c>
      <c r="K321" s="9" t="s">
        <v>153</v>
      </c>
      <c r="L321" s="9" t="s">
        <v>570</v>
      </c>
      <c r="M321" s="14">
        <v>2</v>
      </c>
      <c r="N321" s="14">
        <v>60.18</v>
      </c>
      <c r="O321" s="9" t="s">
        <v>632</v>
      </c>
      <c r="P321" s="7" t="s">
        <v>1018</v>
      </c>
      <c r="Q321" s="9" t="s">
        <v>839</v>
      </c>
      <c r="R321" s="9" t="s">
        <v>153</v>
      </c>
      <c r="S321" s="14">
        <f t="shared" ref="S321:S372" si="129">LEN(P321)</f>
        <v>35</v>
      </c>
      <c r="T321" s="10">
        <v>139</v>
      </c>
    </row>
    <row r="322" spans="1:20" x14ac:dyDescent="0.2">
      <c r="A322" s="7" t="s">
        <v>1019</v>
      </c>
      <c r="B322" s="14">
        <v>2023</v>
      </c>
      <c r="C322" s="9" t="s">
        <v>21</v>
      </c>
      <c r="D322" s="9" t="s">
        <v>4</v>
      </c>
      <c r="E322" s="9" t="s">
        <v>634</v>
      </c>
      <c r="F322" s="14">
        <v>472</v>
      </c>
      <c r="G322" s="9" t="s">
        <v>1021</v>
      </c>
      <c r="H322" s="9">
        <f t="shared" ref="H322" si="130">YEAR(G322)</f>
        <v>2024</v>
      </c>
      <c r="I322" s="9">
        <f t="shared" ref="I322" si="131">MONTH(G322)</f>
        <v>11</v>
      </c>
      <c r="J322" s="9" t="s">
        <v>153</v>
      </c>
      <c r="K322" s="9" t="s">
        <v>153</v>
      </c>
      <c r="L322" s="9" t="s">
        <v>341</v>
      </c>
      <c r="M322" s="14">
        <v>1</v>
      </c>
      <c r="N322" s="14">
        <v>49.99</v>
      </c>
      <c r="O322" s="9" t="s">
        <v>632</v>
      </c>
      <c r="P322" s="7" t="s">
        <v>1020</v>
      </c>
      <c r="Q322" s="9" t="s">
        <v>839</v>
      </c>
      <c r="R322" s="9" t="s">
        <v>153</v>
      </c>
      <c r="S322" s="14">
        <f t="shared" si="129"/>
        <v>60</v>
      </c>
      <c r="T322" s="10">
        <v>59</v>
      </c>
    </row>
    <row r="323" spans="1:20" x14ac:dyDescent="0.2">
      <c r="A323" s="7" t="s">
        <v>1022</v>
      </c>
      <c r="B323" s="14">
        <v>2016</v>
      </c>
      <c r="C323" s="9" t="s">
        <v>21</v>
      </c>
      <c r="D323" s="9" t="s">
        <v>4</v>
      </c>
      <c r="E323" s="9" t="s">
        <v>634</v>
      </c>
      <c r="F323" s="14">
        <v>68</v>
      </c>
      <c r="G323" s="9" t="s">
        <v>1023</v>
      </c>
      <c r="H323" s="9">
        <f t="shared" ref="H323:H324" si="132">YEAR(G323)</f>
        <v>2024</v>
      </c>
      <c r="I323" s="9">
        <f t="shared" ref="I323:I324" si="133">MONTH(G323)</f>
        <v>11</v>
      </c>
      <c r="J323" s="9" t="s">
        <v>152</v>
      </c>
      <c r="K323" s="9" t="s">
        <v>152</v>
      </c>
      <c r="L323" s="9" t="s">
        <v>570</v>
      </c>
      <c r="M323" s="14">
        <v>5</v>
      </c>
      <c r="N323" s="35">
        <v>0</v>
      </c>
      <c r="O323" s="9" t="s">
        <v>632</v>
      </c>
      <c r="P323" s="12" t="s">
        <v>1024</v>
      </c>
      <c r="Q323" s="9" t="s">
        <v>923</v>
      </c>
      <c r="R323" s="9" t="s">
        <v>153</v>
      </c>
      <c r="S323" s="14">
        <f t="shared" si="129"/>
        <v>155</v>
      </c>
      <c r="T323" s="10">
        <v>524</v>
      </c>
    </row>
    <row r="324" spans="1:20" x14ac:dyDescent="0.2">
      <c r="A324" s="7" t="s">
        <v>1025</v>
      </c>
      <c r="B324" s="14">
        <v>2023</v>
      </c>
      <c r="C324" s="9" t="s">
        <v>21</v>
      </c>
      <c r="D324" s="9" t="s">
        <v>4</v>
      </c>
      <c r="E324" s="9" t="s">
        <v>634</v>
      </c>
      <c r="F324" s="14">
        <v>512</v>
      </c>
      <c r="G324" s="9" t="s">
        <v>1026</v>
      </c>
      <c r="H324" s="9">
        <f t="shared" si="132"/>
        <v>2024</v>
      </c>
      <c r="I324" s="9">
        <f t="shared" si="133"/>
        <v>11</v>
      </c>
      <c r="J324" s="9" t="s">
        <v>152</v>
      </c>
      <c r="K324" s="9" t="s">
        <v>153</v>
      </c>
      <c r="L324" s="9" t="s">
        <v>421</v>
      </c>
      <c r="M324" s="14">
        <v>3</v>
      </c>
      <c r="N324" s="14">
        <v>49.99</v>
      </c>
      <c r="O324" s="9" t="s">
        <v>632</v>
      </c>
      <c r="P324" s="7" t="s">
        <v>1027</v>
      </c>
      <c r="Q324" s="9" t="s">
        <v>538</v>
      </c>
      <c r="R324" s="9" t="s">
        <v>153</v>
      </c>
      <c r="S324" s="14">
        <f t="shared" si="129"/>
        <v>67</v>
      </c>
      <c r="T324" s="10">
        <v>224</v>
      </c>
    </row>
    <row r="325" spans="1:20" x14ac:dyDescent="0.2">
      <c r="A325" s="7" t="s">
        <v>1028</v>
      </c>
      <c r="B325" s="14">
        <v>2024</v>
      </c>
      <c r="C325" s="9" t="s">
        <v>21</v>
      </c>
      <c r="D325" s="9" t="s">
        <v>4</v>
      </c>
      <c r="E325" s="9" t="s">
        <v>634</v>
      </c>
      <c r="F325" s="14">
        <v>442</v>
      </c>
      <c r="G325" s="9" t="s">
        <v>1026</v>
      </c>
      <c r="H325" s="9">
        <f t="shared" ref="H325" si="134">YEAR(G325)</f>
        <v>2024</v>
      </c>
      <c r="I325" s="9">
        <f t="shared" ref="I325" si="135">MONTH(G325)</f>
        <v>11</v>
      </c>
      <c r="J325" s="9" t="s">
        <v>153</v>
      </c>
      <c r="K325" s="9" t="s">
        <v>153</v>
      </c>
      <c r="L325" s="9" t="s">
        <v>345</v>
      </c>
      <c r="M325" s="14">
        <v>1</v>
      </c>
      <c r="N325" s="14">
        <v>49.99</v>
      </c>
      <c r="O325" s="9" t="s">
        <v>632</v>
      </c>
      <c r="P325" s="7" t="s">
        <v>1029</v>
      </c>
      <c r="Q325" s="9" t="s">
        <v>538</v>
      </c>
      <c r="R325" s="9" t="s">
        <v>153</v>
      </c>
      <c r="S325" s="14">
        <f t="shared" si="129"/>
        <v>200</v>
      </c>
      <c r="T325" s="10">
        <v>360</v>
      </c>
    </row>
    <row r="326" spans="1:20" x14ac:dyDescent="0.2">
      <c r="A326" s="7" t="s">
        <v>1030</v>
      </c>
      <c r="B326" s="14">
        <v>2024</v>
      </c>
      <c r="C326" s="9" t="s">
        <v>21</v>
      </c>
      <c r="D326" s="9" t="s">
        <v>4</v>
      </c>
      <c r="E326" s="9" t="s">
        <v>634</v>
      </c>
      <c r="F326" s="14">
        <v>265</v>
      </c>
      <c r="G326" s="9" t="s">
        <v>1026</v>
      </c>
      <c r="H326" s="9">
        <f t="shared" ref="H326" si="136">YEAR(G326)</f>
        <v>2024</v>
      </c>
      <c r="I326" s="9">
        <f t="shared" ref="I326" si="137">MONTH(G326)</f>
        <v>11</v>
      </c>
      <c r="J326" s="9" t="s">
        <v>153</v>
      </c>
      <c r="K326" s="9" t="s">
        <v>153</v>
      </c>
      <c r="L326" s="9" t="s">
        <v>343</v>
      </c>
      <c r="M326" s="14">
        <v>1</v>
      </c>
      <c r="N326" s="14">
        <v>64.989999999999995</v>
      </c>
      <c r="O326" s="9" t="s">
        <v>632</v>
      </c>
      <c r="P326" s="7" t="s">
        <v>1031</v>
      </c>
      <c r="Q326" s="9" t="s">
        <v>538</v>
      </c>
      <c r="R326" s="9" t="s">
        <v>153</v>
      </c>
      <c r="S326" s="14">
        <f t="shared" si="129"/>
        <v>66</v>
      </c>
      <c r="T326" s="10">
        <v>32</v>
      </c>
    </row>
    <row r="327" spans="1:20" x14ac:dyDescent="0.2">
      <c r="A327" s="7" t="s">
        <v>1032</v>
      </c>
      <c r="B327" s="14">
        <v>2024</v>
      </c>
      <c r="C327" s="9" t="s">
        <v>21</v>
      </c>
      <c r="D327" s="9" t="s">
        <v>4</v>
      </c>
      <c r="E327" s="9" t="s">
        <v>634</v>
      </c>
      <c r="F327" s="14">
        <v>333</v>
      </c>
      <c r="G327" s="9" t="s">
        <v>1026</v>
      </c>
      <c r="H327" s="9">
        <f t="shared" ref="H327" si="138">YEAR(G327)</f>
        <v>2024</v>
      </c>
      <c r="I327" s="9">
        <f t="shared" ref="I327" si="139">MONTH(G327)</f>
        <v>11</v>
      </c>
      <c r="J327" s="9" t="s">
        <v>153</v>
      </c>
      <c r="K327" s="9" t="s">
        <v>153</v>
      </c>
      <c r="L327" s="9" t="s">
        <v>1033</v>
      </c>
      <c r="M327" s="14">
        <v>1</v>
      </c>
      <c r="N327" s="14">
        <v>37.99</v>
      </c>
      <c r="O327" s="9" t="s">
        <v>632</v>
      </c>
      <c r="P327" s="7" t="s">
        <v>1034</v>
      </c>
      <c r="Q327" s="9" t="s">
        <v>538</v>
      </c>
      <c r="R327" s="9" t="s">
        <v>153</v>
      </c>
      <c r="S327" s="14">
        <f t="shared" si="129"/>
        <v>57</v>
      </c>
      <c r="T327" s="10">
        <v>0</v>
      </c>
    </row>
    <row r="328" spans="1:20" x14ac:dyDescent="0.2">
      <c r="A328" s="7" t="s">
        <v>1035</v>
      </c>
      <c r="B328" s="14">
        <v>2024</v>
      </c>
      <c r="C328" s="9" t="s">
        <v>21</v>
      </c>
      <c r="D328" s="9" t="s">
        <v>4</v>
      </c>
      <c r="E328" s="9" t="s">
        <v>634</v>
      </c>
      <c r="F328" s="14">
        <v>386</v>
      </c>
      <c r="G328" s="9" t="s">
        <v>1026</v>
      </c>
      <c r="H328" s="9">
        <f t="shared" ref="H328" si="140">YEAR(G328)</f>
        <v>2024</v>
      </c>
      <c r="I328" s="9">
        <f t="shared" ref="I328" si="141">MONTH(G328)</f>
        <v>11</v>
      </c>
      <c r="J328" s="9" t="s">
        <v>153</v>
      </c>
      <c r="K328" s="9" t="s">
        <v>153</v>
      </c>
      <c r="L328" s="9" t="s">
        <v>343</v>
      </c>
      <c r="M328" s="14">
        <v>1</v>
      </c>
      <c r="N328" s="14">
        <v>65.989999999999995</v>
      </c>
      <c r="O328" s="9" t="s">
        <v>632</v>
      </c>
      <c r="P328" s="7" t="s">
        <v>1036</v>
      </c>
      <c r="Q328" s="9" t="s">
        <v>538</v>
      </c>
      <c r="R328" s="9" t="s">
        <v>153</v>
      </c>
      <c r="S328" s="14">
        <f t="shared" si="129"/>
        <v>66</v>
      </c>
      <c r="T328" s="10">
        <v>37</v>
      </c>
    </row>
    <row r="329" spans="1:20" x14ac:dyDescent="0.2">
      <c r="A329" s="7" t="s">
        <v>1037</v>
      </c>
      <c r="B329" s="14">
        <v>2020</v>
      </c>
      <c r="C329" s="9" t="s">
        <v>21</v>
      </c>
      <c r="D329" s="9" t="s">
        <v>4</v>
      </c>
      <c r="E329" s="9" t="s">
        <v>634</v>
      </c>
      <c r="F329" s="14">
        <v>213</v>
      </c>
      <c r="G329" s="9" t="s">
        <v>1026</v>
      </c>
      <c r="H329" s="9">
        <f t="shared" ref="H329" si="142">YEAR(G329)</f>
        <v>2024</v>
      </c>
      <c r="I329" s="9">
        <f t="shared" ref="I329" si="143">MONTH(G329)</f>
        <v>11</v>
      </c>
      <c r="J329" s="9" t="s">
        <v>153</v>
      </c>
      <c r="K329" s="9" t="s">
        <v>153</v>
      </c>
      <c r="L329" s="9" t="s">
        <v>570</v>
      </c>
      <c r="M329" s="14">
        <v>4</v>
      </c>
      <c r="N329" s="14">
        <v>39.99</v>
      </c>
      <c r="O329" s="9" t="s">
        <v>632</v>
      </c>
      <c r="P329" s="12" t="s">
        <v>1038</v>
      </c>
      <c r="Q329" s="9" t="s">
        <v>538</v>
      </c>
      <c r="R329" s="9" t="s">
        <v>153</v>
      </c>
      <c r="S329" s="14">
        <f t="shared" si="129"/>
        <v>144</v>
      </c>
      <c r="T329" s="10">
        <v>162</v>
      </c>
    </row>
    <row r="330" spans="1:20" x14ac:dyDescent="0.2">
      <c r="A330" s="7" t="s">
        <v>1039</v>
      </c>
      <c r="B330" s="14">
        <v>2024</v>
      </c>
      <c r="C330" s="9" t="s">
        <v>21</v>
      </c>
      <c r="D330" s="9" t="s">
        <v>4</v>
      </c>
      <c r="E330" s="9" t="s">
        <v>634</v>
      </c>
      <c r="F330" s="14">
        <v>277</v>
      </c>
      <c r="G330" s="9" t="s">
        <v>1026</v>
      </c>
      <c r="H330" s="9">
        <f t="shared" ref="H330" si="144">YEAR(G330)</f>
        <v>2024</v>
      </c>
      <c r="I330" s="9">
        <f t="shared" ref="I330" si="145">MONTH(G330)</f>
        <v>11</v>
      </c>
      <c r="J330" s="9" t="s">
        <v>153</v>
      </c>
      <c r="K330" s="9" t="s">
        <v>153</v>
      </c>
      <c r="L330" s="9" t="s">
        <v>348</v>
      </c>
      <c r="M330" s="14">
        <v>3</v>
      </c>
      <c r="N330" s="35">
        <v>43.9</v>
      </c>
      <c r="O330" s="9" t="s">
        <v>632</v>
      </c>
      <c r="P330" s="7" t="s">
        <v>1040</v>
      </c>
      <c r="Q330" s="9" t="s">
        <v>442</v>
      </c>
      <c r="R330" s="9" t="s">
        <v>153</v>
      </c>
      <c r="S330" s="14">
        <f t="shared" si="129"/>
        <v>169</v>
      </c>
      <c r="T330" s="10">
        <v>218</v>
      </c>
    </row>
    <row r="331" spans="1:20" x14ac:dyDescent="0.2">
      <c r="A331" s="7" t="s">
        <v>1041</v>
      </c>
      <c r="B331" s="14">
        <v>2024</v>
      </c>
      <c r="C331" s="9" t="s">
        <v>21</v>
      </c>
      <c r="D331" s="9" t="s">
        <v>4</v>
      </c>
      <c r="E331" s="9" t="s">
        <v>634</v>
      </c>
      <c r="F331" s="14">
        <v>132</v>
      </c>
      <c r="G331" s="9" t="s">
        <v>1042</v>
      </c>
      <c r="H331" s="9">
        <f t="shared" ref="H331" si="146">YEAR(G331)</f>
        <v>2024</v>
      </c>
      <c r="I331" s="9">
        <f t="shared" ref="I331" si="147">MONTH(G331)</f>
        <v>12</v>
      </c>
      <c r="J331" s="9" t="s">
        <v>153</v>
      </c>
      <c r="K331" s="9" t="s">
        <v>153</v>
      </c>
      <c r="L331" s="9" t="s">
        <v>570</v>
      </c>
      <c r="M331" s="14">
        <v>2</v>
      </c>
      <c r="N331" s="35">
        <v>10</v>
      </c>
      <c r="O331" s="9" t="s">
        <v>632</v>
      </c>
      <c r="P331" s="12" t="s">
        <v>1043</v>
      </c>
      <c r="Q331" s="9" t="s">
        <v>442</v>
      </c>
      <c r="R331" s="9" t="s">
        <v>153</v>
      </c>
      <c r="S331" s="14">
        <f t="shared" si="129"/>
        <v>136</v>
      </c>
      <c r="T331" s="10">
        <v>160</v>
      </c>
    </row>
    <row r="332" spans="1:20" x14ac:dyDescent="0.2">
      <c r="A332" s="7" t="s">
        <v>1044</v>
      </c>
      <c r="B332" s="14">
        <v>2023</v>
      </c>
      <c r="C332" s="9" t="s">
        <v>21</v>
      </c>
      <c r="D332" s="9" t="s">
        <v>4</v>
      </c>
      <c r="E332" s="9" t="s">
        <v>634</v>
      </c>
      <c r="F332" s="14">
        <v>289</v>
      </c>
      <c r="G332" s="9" t="s">
        <v>1042</v>
      </c>
      <c r="H332" s="9">
        <f t="shared" ref="H332" si="148">YEAR(G332)</f>
        <v>2024</v>
      </c>
      <c r="I332" s="9">
        <f t="shared" ref="I332" si="149">MONTH(G332)</f>
        <v>12</v>
      </c>
      <c r="J332" s="9" t="s">
        <v>153</v>
      </c>
      <c r="K332" s="9" t="s">
        <v>153</v>
      </c>
      <c r="L332" s="9" t="s">
        <v>343</v>
      </c>
      <c r="M332" s="14">
        <v>2</v>
      </c>
      <c r="N332" s="14">
        <v>65.989999999999995</v>
      </c>
      <c r="O332" s="9" t="s">
        <v>632</v>
      </c>
      <c r="P332" s="7" t="s">
        <v>1045</v>
      </c>
      <c r="Q332" s="9" t="s">
        <v>442</v>
      </c>
      <c r="R332" s="9" t="s">
        <v>153</v>
      </c>
      <c r="S332" s="14">
        <f t="shared" si="129"/>
        <v>47</v>
      </c>
      <c r="T332" s="10">
        <v>358</v>
      </c>
    </row>
    <row r="333" spans="1:20" x14ac:dyDescent="0.2">
      <c r="A333" s="7" t="s">
        <v>1046</v>
      </c>
      <c r="B333" s="14">
        <v>2024</v>
      </c>
      <c r="C333" s="9" t="s">
        <v>21</v>
      </c>
      <c r="D333" s="9" t="s">
        <v>4</v>
      </c>
      <c r="E333" s="9" t="s">
        <v>634</v>
      </c>
      <c r="F333" s="14">
        <v>257</v>
      </c>
      <c r="G333" s="9" t="s">
        <v>1042</v>
      </c>
      <c r="H333" s="9">
        <f t="shared" ref="H333" si="150">YEAR(G333)</f>
        <v>2024</v>
      </c>
      <c r="I333" s="9">
        <f t="shared" ref="I333" si="151">MONTH(G333)</f>
        <v>12</v>
      </c>
      <c r="J333" s="9" t="s">
        <v>153</v>
      </c>
      <c r="K333" s="9" t="s">
        <v>153</v>
      </c>
      <c r="L333" s="9" t="s">
        <v>345</v>
      </c>
      <c r="M333" s="14">
        <v>3</v>
      </c>
      <c r="N333" s="14">
        <v>49.99</v>
      </c>
      <c r="O333" s="9" t="s">
        <v>632</v>
      </c>
      <c r="P333" s="7" t="s">
        <v>1047</v>
      </c>
      <c r="Q333" s="9" t="s">
        <v>839</v>
      </c>
      <c r="R333" s="9" t="s">
        <v>153</v>
      </c>
      <c r="S333" s="14">
        <f t="shared" si="129"/>
        <v>36</v>
      </c>
      <c r="T333" s="10">
        <v>355</v>
      </c>
    </row>
    <row r="334" spans="1:20" x14ac:dyDescent="0.2">
      <c r="A334" s="7" t="s">
        <v>1048</v>
      </c>
      <c r="B334" s="14">
        <v>2023</v>
      </c>
      <c r="C334" s="9" t="s">
        <v>21</v>
      </c>
      <c r="D334" s="9" t="s">
        <v>4</v>
      </c>
      <c r="E334" s="9" t="s">
        <v>634</v>
      </c>
      <c r="F334" s="14">
        <v>573</v>
      </c>
      <c r="G334" s="9" t="s">
        <v>1049</v>
      </c>
      <c r="H334" s="9">
        <f t="shared" ref="H334" si="152">YEAR(G334)</f>
        <v>2025</v>
      </c>
      <c r="I334" s="9">
        <f t="shared" ref="I334" si="153">MONTH(G334)</f>
        <v>1</v>
      </c>
      <c r="J334" s="9" t="s">
        <v>153</v>
      </c>
      <c r="K334" s="9" t="s">
        <v>153</v>
      </c>
      <c r="L334" s="9" t="s">
        <v>343</v>
      </c>
      <c r="M334" s="14">
        <v>1</v>
      </c>
      <c r="N334" s="14">
        <v>65.989999999999995</v>
      </c>
      <c r="O334" s="9" t="s">
        <v>632</v>
      </c>
      <c r="P334" s="7" t="s">
        <v>1050</v>
      </c>
      <c r="Q334" s="9" t="s">
        <v>839</v>
      </c>
      <c r="R334" s="9" t="s">
        <v>153</v>
      </c>
      <c r="S334" s="14">
        <f t="shared" si="129"/>
        <v>57</v>
      </c>
      <c r="T334" s="10">
        <v>97</v>
      </c>
    </row>
    <row r="335" spans="1:20" x14ac:dyDescent="0.2">
      <c r="A335" s="7" t="s">
        <v>1051</v>
      </c>
      <c r="B335" s="14">
        <v>2009</v>
      </c>
      <c r="C335" s="9" t="s">
        <v>21</v>
      </c>
      <c r="D335" s="9" t="s">
        <v>4</v>
      </c>
      <c r="E335" s="9" t="s">
        <v>634</v>
      </c>
      <c r="F335" s="14">
        <v>220</v>
      </c>
      <c r="G335" s="9" t="s">
        <v>1049</v>
      </c>
      <c r="H335" s="9">
        <f t="shared" ref="H335:H336" si="154">YEAR(G335)</f>
        <v>2025</v>
      </c>
      <c r="I335" s="9">
        <f t="shared" ref="I335:I336" si="155">MONTH(G335)</f>
        <v>1</v>
      </c>
      <c r="J335" s="9" t="s">
        <v>153</v>
      </c>
      <c r="K335" s="9" t="s">
        <v>152</v>
      </c>
      <c r="L335" s="9" t="s">
        <v>363</v>
      </c>
      <c r="M335" s="14">
        <v>3</v>
      </c>
      <c r="N335" s="14">
        <v>39.950000000000003</v>
      </c>
      <c r="O335" s="9" t="s">
        <v>632</v>
      </c>
      <c r="P335" s="7" t="s">
        <v>642</v>
      </c>
      <c r="Q335" s="9" t="s">
        <v>1009</v>
      </c>
      <c r="R335" s="9" t="s">
        <v>153</v>
      </c>
      <c r="S335" s="14">
        <f t="shared" si="129"/>
        <v>16</v>
      </c>
      <c r="T335" s="10">
        <v>259</v>
      </c>
    </row>
    <row r="336" spans="1:20" x14ac:dyDescent="0.2">
      <c r="A336" s="7" t="s">
        <v>1052</v>
      </c>
      <c r="B336" s="14">
        <v>2024</v>
      </c>
      <c r="C336" s="9" t="s">
        <v>21</v>
      </c>
      <c r="D336" s="9" t="s">
        <v>4</v>
      </c>
      <c r="E336" s="9" t="s">
        <v>634</v>
      </c>
      <c r="F336" s="14">
        <v>314</v>
      </c>
      <c r="G336" s="9" t="s">
        <v>1054</v>
      </c>
      <c r="H336" s="9">
        <f t="shared" si="154"/>
        <v>2025</v>
      </c>
      <c r="I336" s="9">
        <f t="shared" si="155"/>
        <v>1</v>
      </c>
      <c r="J336" s="9" t="s">
        <v>153</v>
      </c>
      <c r="K336" s="9" t="s">
        <v>152</v>
      </c>
      <c r="L336" s="9" t="s">
        <v>345</v>
      </c>
      <c r="M336" s="14">
        <v>4</v>
      </c>
      <c r="N336" s="14">
        <v>47.99</v>
      </c>
      <c r="O336" s="9" t="s">
        <v>632</v>
      </c>
      <c r="P336" s="7" t="s">
        <v>1053</v>
      </c>
      <c r="Q336" s="9" t="s">
        <v>1155</v>
      </c>
      <c r="R336" s="9" t="s">
        <v>153</v>
      </c>
      <c r="S336" s="14">
        <f t="shared" si="129"/>
        <v>40</v>
      </c>
      <c r="T336" s="10">
        <v>630</v>
      </c>
    </row>
    <row r="337" spans="1:20" x14ac:dyDescent="0.2">
      <c r="A337" s="7" t="s">
        <v>1055</v>
      </c>
      <c r="B337" s="14">
        <v>2025</v>
      </c>
      <c r="C337" s="9" t="s">
        <v>21</v>
      </c>
      <c r="D337" s="9" t="s">
        <v>4</v>
      </c>
      <c r="E337" s="9" t="s">
        <v>634</v>
      </c>
      <c r="F337" s="14">
        <v>308</v>
      </c>
      <c r="G337" s="9" t="s">
        <v>1056</v>
      </c>
      <c r="H337" s="9">
        <f t="shared" ref="H337:H338" si="156">YEAR(G337)</f>
        <v>2025</v>
      </c>
      <c r="I337" s="9">
        <f t="shared" ref="I337:I338" si="157">MONTH(G337)</f>
        <v>2</v>
      </c>
      <c r="J337" s="9" t="s">
        <v>153</v>
      </c>
      <c r="K337" s="9" t="s">
        <v>153</v>
      </c>
      <c r="L337" s="9" t="s">
        <v>343</v>
      </c>
      <c r="M337" s="14">
        <v>2</v>
      </c>
      <c r="N337" s="14">
        <v>69.989999999999995</v>
      </c>
      <c r="O337" s="9" t="s">
        <v>632</v>
      </c>
      <c r="P337" s="7" t="s">
        <v>1057</v>
      </c>
      <c r="Q337" s="9" t="s">
        <v>1155</v>
      </c>
      <c r="R337" s="9" t="s">
        <v>153</v>
      </c>
      <c r="S337" s="14">
        <f t="shared" si="129"/>
        <v>38</v>
      </c>
      <c r="T337" s="10">
        <v>80</v>
      </c>
    </row>
    <row r="338" spans="1:20" x14ac:dyDescent="0.2">
      <c r="A338" s="7" t="s">
        <v>1058</v>
      </c>
      <c r="B338" s="14">
        <v>2024</v>
      </c>
      <c r="C338" s="9" t="s">
        <v>21</v>
      </c>
      <c r="D338" s="9" t="s">
        <v>4</v>
      </c>
      <c r="E338" s="9" t="s">
        <v>634</v>
      </c>
      <c r="F338" s="14">
        <v>382</v>
      </c>
      <c r="G338" s="9" t="s">
        <v>1059</v>
      </c>
      <c r="H338" s="9">
        <f t="shared" si="156"/>
        <v>2025</v>
      </c>
      <c r="I338" s="9">
        <f t="shared" si="157"/>
        <v>3</v>
      </c>
      <c r="J338" s="9" t="s">
        <v>153</v>
      </c>
      <c r="K338" s="9" t="s">
        <v>152</v>
      </c>
      <c r="L338" s="9" t="s">
        <v>341</v>
      </c>
      <c r="M338" s="14">
        <v>3</v>
      </c>
      <c r="N338" s="14">
        <v>54.99</v>
      </c>
      <c r="O338" s="9" t="s">
        <v>632</v>
      </c>
      <c r="P338" s="12" t="s">
        <v>1060</v>
      </c>
      <c r="Q338" s="9" t="s">
        <v>1155</v>
      </c>
      <c r="R338" s="9" t="s">
        <v>153</v>
      </c>
      <c r="S338" s="14">
        <f t="shared" si="129"/>
        <v>197</v>
      </c>
      <c r="T338" s="10">
        <v>253</v>
      </c>
    </row>
    <row r="339" spans="1:20" x14ac:dyDescent="0.2">
      <c r="A339" s="7" t="s">
        <v>1061</v>
      </c>
      <c r="B339" s="14">
        <v>2023</v>
      </c>
      <c r="C339" s="9" t="s">
        <v>21</v>
      </c>
      <c r="D339" s="9" t="s">
        <v>4</v>
      </c>
      <c r="E339" s="9" t="s">
        <v>634</v>
      </c>
      <c r="F339" s="14">
        <v>469</v>
      </c>
      <c r="G339" s="9" t="s">
        <v>1059</v>
      </c>
      <c r="H339" s="9">
        <f t="shared" ref="H339" si="158">YEAR(G339)</f>
        <v>2025</v>
      </c>
      <c r="I339" s="9">
        <f t="shared" ref="I339" si="159">MONTH(G339)</f>
        <v>3</v>
      </c>
      <c r="J339" s="9" t="s">
        <v>153</v>
      </c>
      <c r="K339" s="9" t="s">
        <v>153</v>
      </c>
      <c r="L339" s="9" t="s">
        <v>343</v>
      </c>
      <c r="M339" s="14">
        <v>1</v>
      </c>
      <c r="N339" s="14">
        <v>65.989999999999995</v>
      </c>
      <c r="O339" s="9" t="s">
        <v>632</v>
      </c>
      <c r="P339" s="12" t="s">
        <v>1062</v>
      </c>
      <c r="Q339" s="9" t="s">
        <v>442</v>
      </c>
      <c r="R339" s="9" t="s">
        <v>153</v>
      </c>
      <c r="S339" s="14">
        <f t="shared" si="129"/>
        <v>107</v>
      </c>
      <c r="T339" s="10">
        <v>95</v>
      </c>
    </row>
    <row r="340" spans="1:20" x14ac:dyDescent="0.2">
      <c r="A340" s="7" t="s">
        <v>1063</v>
      </c>
      <c r="B340" s="14">
        <v>2012</v>
      </c>
      <c r="C340" s="9" t="s">
        <v>21</v>
      </c>
      <c r="D340" s="9" t="s">
        <v>4</v>
      </c>
      <c r="E340" s="9" t="s">
        <v>634</v>
      </c>
      <c r="F340" s="14">
        <v>135</v>
      </c>
      <c r="G340" s="9" t="s">
        <v>1064</v>
      </c>
      <c r="H340" s="9">
        <f t="shared" ref="H340" si="160">YEAR(G340)</f>
        <v>2025</v>
      </c>
      <c r="I340" s="9">
        <f t="shared" ref="I340" si="161">MONTH(G340)</f>
        <v>3</v>
      </c>
      <c r="J340" s="9" t="s">
        <v>153</v>
      </c>
      <c r="K340" s="9" t="s">
        <v>153</v>
      </c>
      <c r="L340" s="9" t="s">
        <v>570</v>
      </c>
      <c r="M340" s="14">
        <v>4</v>
      </c>
      <c r="N340" s="35">
        <v>0</v>
      </c>
      <c r="O340" s="9" t="s">
        <v>632</v>
      </c>
      <c r="P340" s="7" t="s">
        <v>1065</v>
      </c>
      <c r="Q340" s="9" t="s">
        <v>442</v>
      </c>
      <c r="R340" s="9" t="s">
        <v>153</v>
      </c>
      <c r="S340" s="14">
        <f t="shared" si="129"/>
        <v>61</v>
      </c>
      <c r="T340" s="10">
        <v>369</v>
      </c>
    </row>
    <row r="341" spans="1:20" x14ac:dyDescent="0.2">
      <c r="A341" s="7" t="s">
        <v>1066</v>
      </c>
      <c r="B341" s="14">
        <v>2024</v>
      </c>
      <c r="C341" s="9" t="s">
        <v>21</v>
      </c>
      <c r="D341" s="9" t="s">
        <v>4</v>
      </c>
      <c r="E341" s="9" t="s">
        <v>634</v>
      </c>
      <c r="F341" s="14">
        <v>373</v>
      </c>
      <c r="G341" s="9" t="s">
        <v>1064</v>
      </c>
      <c r="H341" s="9">
        <f t="shared" ref="H341:H342" si="162">YEAR(G341)</f>
        <v>2025</v>
      </c>
      <c r="I341" s="9">
        <f t="shared" ref="I341:I347" si="163">MONTH(G341)</f>
        <v>3</v>
      </c>
      <c r="J341" s="9" t="s">
        <v>153</v>
      </c>
      <c r="K341" s="9" t="s">
        <v>153</v>
      </c>
      <c r="L341" s="9" t="s">
        <v>570</v>
      </c>
      <c r="M341" s="14">
        <v>3</v>
      </c>
      <c r="N341" s="14">
        <v>79</v>
      </c>
      <c r="O341" s="9" t="s">
        <v>632</v>
      </c>
      <c r="P341" s="12" t="s">
        <v>1068</v>
      </c>
      <c r="Q341" s="9" t="s">
        <v>1067</v>
      </c>
      <c r="R341" s="9" t="s">
        <v>153</v>
      </c>
      <c r="S341" s="14">
        <f t="shared" si="129"/>
        <v>174</v>
      </c>
      <c r="T341" s="10">
        <v>509</v>
      </c>
    </row>
    <row r="342" spans="1:20" x14ac:dyDescent="0.2">
      <c r="A342" s="7" t="s">
        <v>1069</v>
      </c>
      <c r="B342" s="14">
        <v>2024</v>
      </c>
      <c r="C342" s="9" t="s">
        <v>21</v>
      </c>
      <c r="D342" s="9" t="s">
        <v>4</v>
      </c>
      <c r="E342" s="9" t="s">
        <v>634</v>
      </c>
      <c r="F342" s="14">
        <v>286</v>
      </c>
      <c r="G342" s="9" t="s">
        <v>1070</v>
      </c>
      <c r="H342" s="9">
        <f t="shared" si="162"/>
        <v>2025</v>
      </c>
      <c r="I342" s="9">
        <f t="shared" si="163"/>
        <v>5</v>
      </c>
      <c r="J342" s="9" t="s">
        <v>153</v>
      </c>
      <c r="K342" s="9" t="s">
        <v>153</v>
      </c>
      <c r="L342" s="9" t="s">
        <v>346</v>
      </c>
      <c r="M342" s="14">
        <v>2</v>
      </c>
      <c r="N342" s="14">
        <v>39.99</v>
      </c>
      <c r="O342" s="9" t="s">
        <v>632</v>
      </c>
      <c r="P342" s="7" t="s">
        <v>1071</v>
      </c>
      <c r="Q342" s="9" t="s">
        <v>442</v>
      </c>
      <c r="R342" s="9" t="s">
        <v>153</v>
      </c>
      <c r="S342" s="14">
        <f t="shared" si="129"/>
        <v>48</v>
      </c>
      <c r="T342" s="14">
        <v>352</v>
      </c>
    </row>
    <row r="343" spans="1:20" x14ac:dyDescent="0.2">
      <c r="A343" s="7" t="s">
        <v>1072</v>
      </c>
      <c r="B343" s="14">
        <v>2024</v>
      </c>
      <c r="C343" s="9" t="s">
        <v>21</v>
      </c>
      <c r="D343" s="9" t="s">
        <v>4</v>
      </c>
      <c r="E343" s="9" t="s">
        <v>634</v>
      </c>
      <c r="F343" s="14">
        <v>418</v>
      </c>
      <c r="G343" s="9" t="s">
        <v>1070</v>
      </c>
      <c r="H343" s="9">
        <f t="shared" ref="H343" si="164">YEAR(G343)</f>
        <v>2025</v>
      </c>
      <c r="I343" s="9">
        <f t="shared" si="163"/>
        <v>5</v>
      </c>
      <c r="J343" s="9" t="s">
        <v>153</v>
      </c>
      <c r="K343" s="9" t="s">
        <v>153</v>
      </c>
      <c r="L343" s="9" t="s">
        <v>1073</v>
      </c>
      <c r="M343" s="14">
        <v>2</v>
      </c>
      <c r="N343" s="14">
        <v>39.950000000000003</v>
      </c>
      <c r="O343" s="9" t="s">
        <v>632</v>
      </c>
      <c r="P343" s="7" t="s">
        <v>1071</v>
      </c>
      <c r="Q343" s="9" t="s">
        <v>442</v>
      </c>
      <c r="R343" s="9" t="s">
        <v>153</v>
      </c>
      <c r="S343" s="14">
        <f t="shared" si="129"/>
        <v>48</v>
      </c>
      <c r="T343" s="14">
        <v>137</v>
      </c>
    </row>
    <row r="344" spans="1:20" x14ac:dyDescent="0.2">
      <c r="A344" s="7" t="s">
        <v>1074</v>
      </c>
      <c r="B344" s="14">
        <v>2024</v>
      </c>
      <c r="C344" s="9" t="s">
        <v>21</v>
      </c>
      <c r="D344" s="9" t="s">
        <v>4</v>
      </c>
      <c r="E344" s="9" t="s">
        <v>634</v>
      </c>
      <c r="F344" s="14">
        <v>611</v>
      </c>
      <c r="G344" s="9" t="s">
        <v>1070</v>
      </c>
      <c r="H344" s="9">
        <f t="shared" ref="H344" si="165">YEAR(G344)</f>
        <v>2025</v>
      </c>
      <c r="I344" s="9">
        <f t="shared" si="163"/>
        <v>5</v>
      </c>
      <c r="J344" s="9" t="s">
        <v>153</v>
      </c>
      <c r="K344" s="9" t="s">
        <v>153</v>
      </c>
      <c r="L344" s="9" t="s">
        <v>842</v>
      </c>
      <c r="M344" s="14">
        <v>2</v>
      </c>
      <c r="N344" s="14">
        <v>37.950000000000003</v>
      </c>
      <c r="O344" s="9" t="s">
        <v>632</v>
      </c>
      <c r="P344" s="7" t="s">
        <v>1075</v>
      </c>
      <c r="Q344" s="9" t="s">
        <v>442</v>
      </c>
      <c r="R344" s="9" t="s">
        <v>153</v>
      </c>
      <c r="S344" s="14">
        <f t="shared" si="129"/>
        <v>67</v>
      </c>
      <c r="T344" s="14">
        <v>205</v>
      </c>
    </row>
    <row r="345" spans="1:20" x14ac:dyDescent="0.2">
      <c r="A345" s="7" t="s">
        <v>1076</v>
      </c>
      <c r="B345" s="14">
        <v>2024</v>
      </c>
      <c r="C345" s="9" t="s">
        <v>21</v>
      </c>
      <c r="D345" s="9" t="s">
        <v>4</v>
      </c>
      <c r="E345" s="9" t="s">
        <v>634</v>
      </c>
      <c r="F345" s="14">
        <v>55</v>
      </c>
      <c r="G345" s="9" t="s">
        <v>1070</v>
      </c>
      <c r="H345" s="9">
        <f t="shared" ref="H345" si="166">YEAR(G345)</f>
        <v>2025</v>
      </c>
      <c r="I345" s="9">
        <f t="shared" si="163"/>
        <v>5</v>
      </c>
      <c r="J345" s="9" t="s">
        <v>153</v>
      </c>
      <c r="K345" s="9" t="s">
        <v>153</v>
      </c>
      <c r="L345" s="9" t="s">
        <v>570</v>
      </c>
      <c r="M345" s="14">
        <v>2</v>
      </c>
      <c r="N345" s="35">
        <v>0</v>
      </c>
      <c r="O345" s="9" t="s">
        <v>632</v>
      </c>
      <c r="P345" s="7" t="s">
        <v>1077</v>
      </c>
      <c r="Q345" s="9" t="s">
        <v>923</v>
      </c>
      <c r="R345" s="9" t="s">
        <v>153</v>
      </c>
      <c r="S345" s="14">
        <f t="shared" si="129"/>
        <v>43</v>
      </c>
      <c r="T345" s="14">
        <v>59</v>
      </c>
    </row>
    <row r="346" spans="1:20" x14ac:dyDescent="0.2">
      <c r="A346" s="7" t="s">
        <v>1078</v>
      </c>
      <c r="B346" s="14">
        <v>2020</v>
      </c>
      <c r="C346" s="9" t="s">
        <v>21</v>
      </c>
      <c r="D346" s="9" t="s">
        <v>4</v>
      </c>
      <c r="E346" s="9" t="s">
        <v>634</v>
      </c>
      <c r="F346" s="14">
        <v>602</v>
      </c>
      <c r="G346" s="9" t="s">
        <v>1079</v>
      </c>
      <c r="H346" s="9">
        <f t="shared" ref="H346" si="167">YEAR(G346)</f>
        <v>2025</v>
      </c>
      <c r="I346" s="9">
        <f t="shared" si="163"/>
        <v>5</v>
      </c>
      <c r="J346" s="9" t="s">
        <v>153</v>
      </c>
      <c r="K346" s="9" t="s">
        <v>153</v>
      </c>
      <c r="L346" s="9" t="s">
        <v>343</v>
      </c>
      <c r="M346" s="14">
        <v>1</v>
      </c>
      <c r="N346" s="14">
        <v>65.989999999999995</v>
      </c>
      <c r="O346" s="9" t="s">
        <v>632</v>
      </c>
      <c r="P346" s="7" t="s">
        <v>1080</v>
      </c>
      <c r="Q346" s="9" t="s">
        <v>442</v>
      </c>
      <c r="R346" s="9" t="s">
        <v>153</v>
      </c>
      <c r="S346" s="14">
        <f t="shared" si="129"/>
        <v>133</v>
      </c>
      <c r="T346" s="14">
        <v>177</v>
      </c>
    </row>
    <row r="347" spans="1:20" x14ac:dyDescent="0.2">
      <c r="A347" s="7" t="s">
        <v>1081</v>
      </c>
      <c r="B347" s="14">
        <v>2009</v>
      </c>
      <c r="C347" s="9" t="s">
        <v>21</v>
      </c>
      <c r="D347" s="9" t="s">
        <v>4</v>
      </c>
      <c r="E347" s="9" t="s">
        <v>634</v>
      </c>
      <c r="F347" s="14">
        <v>388</v>
      </c>
      <c r="G347" s="9" t="s">
        <v>1079</v>
      </c>
      <c r="H347" s="9">
        <f t="shared" ref="H347" si="168">YEAR(G347)</f>
        <v>2025</v>
      </c>
      <c r="I347" s="9">
        <f t="shared" si="163"/>
        <v>5</v>
      </c>
      <c r="J347" s="9" t="s">
        <v>153</v>
      </c>
      <c r="K347" s="9" t="s">
        <v>153</v>
      </c>
      <c r="L347" s="9" t="s">
        <v>354</v>
      </c>
      <c r="M347" s="14">
        <v>1</v>
      </c>
      <c r="N347" s="14">
        <v>69.95</v>
      </c>
      <c r="O347" s="9" t="s">
        <v>632</v>
      </c>
      <c r="P347" s="7" t="s">
        <v>1082</v>
      </c>
      <c r="Q347" s="9" t="s">
        <v>442</v>
      </c>
      <c r="R347" s="9" t="s">
        <v>153</v>
      </c>
      <c r="S347" s="14">
        <f t="shared" si="129"/>
        <v>133</v>
      </c>
      <c r="T347" s="14">
        <v>96</v>
      </c>
    </row>
    <row r="348" spans="1:20" x14ac:dyDescent="0.2">
      <c r="A348" s="7" t="s">
        <v>1083</v>
      </c>
      <c r="B348" s="14">
        <v>2023</v>
      </c>
      <c r="C348" s="9" t="s">
        <v>21</v>
      </c>
      <c r="D348" s="9" t="s">
        <v>4</v>
      </c>
      <c r="E348" s="9" t="s">
        <v>634</v>
      </c>
      <c r="F348" s="14">
        <v>63</v>
      </c>
      <c r="G348" s="9" t="s">
        <v>1084</v>
      </c>
      <c r="H348" s="9">
        <f t="shared" ref="H348" si="169">YEAR(G348)</f>
        <v>2025</v>
      </c>
      <c r="I348" s="9">
        <f t="shared" ref="I348" si="170">MONTH(G348)</f>
        <v>5</v>
      </c>
      <c r="J348" s="9" t="s">
        <v>153</v>
      </c>
      <c r="K348" s="9" t="s">
        <v>153</v>
      </c>
      <c r="L348" s="9" t="s">
        <v>570</v>
      </c>
      <c r="M348" s="14">
        <v>1</v>
      </c>
      <c r="N348" s="35">
        <v>0</v>
      </c>
      <c r="O348" s="9" t="s">
        <v>632</v>
      </c>
      <c r="P348" s="7" t="s">
        <v>1085</v>
      </c>
      <c r="Q348" s="9" t="s">
        <v>1187</v>
      </c>
      <c r="R348" s="9" t="s">
        <v>153</v>
      </c>
      <c r="S348" s="14">
        <f t="shared" si="129"/>
        <v>194</v>
      </c>
      <c r="T348" s="14">
        <v>87</v>
      </c>
    </row>
    <row r="349" spans="1:20" x14ac:dyDescent="0.2">
      <c r="A349" s="7" t="s">
        <v>1086</v>
      </c>
      <c r="B349" s="14">
        <v>2024</v>
      </c>
      <c r="C349" s="9" t="s">
        <v>21</v>
      </c>
      <c r="D349" s="9" t="s">
        <v>4</v>
      </c>
      <c r="E349" s="9" t="s">
        <v>634</v>
      </c>
      <c r="F349" s="14">
        <v>350</v>
      </c>
      <c r="G349" s="9" t="s">
        <v>1087</v>
      </c>
      <c r="H349" s="9">
        <f t="shared" ref="H349" si="171">YEAR(G349)</f>
        <v>2025</v>
      </c>
      <c r="I349" s="9">
        <f t="shared" ref="I349" si="172">MONTH(G349)</f>
        <v>5</v>
      </c>
      <c r="J349" s="9" t="s">
        <v>153</v>
      </c>
      <c r="K349" s="9" t="s">
        <v>153</v>
      </c>
      <c r="L349" s="9" t="s">
        <v>341</v>
      </c>
      <c r="M349" s="14">
        <v>1</v>
      </c>
      <c r="N349" s="35">
        <v>39.99</v>
      </c>
      <c r="O349" s="9" t="s">
        <v>632</v>
      </c>
      <c r="P349" s="12" t="s">
        <v>1088</v>
      </c>
      <c r="Q349" s="9" t="s">
        <v>538</v>
      </c>
      <c r="R349" s="9" t="s">
        <v>153</v>
      </c>
      <c r="S349" s="14">
        <f t="shared" si="129"/>
        <v>293</v>
      </c>
      <c r="T349" s="14">
        <v>72</v>
      </c>
    </row>
    <row r="350" spans="1:20" x14ac:dyDescent="0.2">
      <c r="A350" s="7" t="s">
        <v>1089</v>
      </c>
      <c r="B350" s="14">
        <v>2018</v>
      </c>
      <c r="C350" s="9" t="s">
        <v>21</v>
      </c>
      <c r="D350" s="9" t="s">
        <v>4</v>
      </c>
      <c r="E350" s="9" t="s">
        <v>634</v>
      </c>
      <c r="F350" s="14">
        <v>331</v>
      </c>
      <c r="G350" s="9" t="s">
        <v>1090</v>
      </c>
      <c r="H350" s="9">
        <f t="shared" ref="H350" si="173">YEAR(G350)</f>
        <v>2025</v>
      </c>
      <c r="I350" s="9">
        <f t="shared" ref="I350" si="174">MONTH(G350)</f>
        <v>5</v>
      </c>
      <c r="J350" s="9" t="s">
        <v>153</v>
      </c>
      <c r="K350" s="9" t="s">
        <v>153</v>
      </c>
      <c r="L350" s="9" t="s">
        <v>348</v>
      </c>
      <c r="M350" s="14">
        <v>2</v>
      </c>
      <c r="N350" s="14">
        <v>64.989999999999995</v>
      </c>
      <c r="O350" s="9" t="s">
        <v>632</v>
      </c>
      <c r="P350" s="12" t="s">
        <v>1091</v>
      </c>
      <c r="Q350" s="9" t="s">
        <v>1067</v>
      </c>
      <c r="R350" s="9" t="s">
        <v>153</v>
      </c>
      <c r="S350" s="14">
        <f t="shared" si="129"/>
        <v>117</v>
      </c>
      <c r="T350" s="14">
        <v>460</v>
      </c>
    </row>
    <row r="351" spans="1:20" x14ac:dyDescent="0.2">
      <c r="A351" s="7" t="s">
        <v>1092</v>
      </c>
      <c r="B351" s="14">
        <v>2025</v>
      </c>
      <c r="C351" s="9" t="s">
        <v>21</v>
      </c>
      <c r="D351" s="9" t="s">
        <v>4</v>
      </c>
      <c r="E351" s="9" t="s">
        <v>634</v>
      </c>
      <c r="F351" s="14">
        <v>433</v>
      </c>
      <c r="G351" s="9" t="s">
        <v>1093</v>
      </c>
      <c r="H351" s="9">
        <f t="shared" ref="H351" si="175">YEAR(G351)</f>
        <v>2025</v>
      </c>
      <c r="I351" s="9">
        <f t="shared" ref="I351" si="176">MONTH(G351)</f>
        <v>5</v>
      </c>
      <c r="J351" s="9" t="s">
        <v>153</v>
      </c>
      <c r="K351" s="9" t="s">
        <v>153</v>
      </c>
      <c r="L351" s="9" t="s">
        <v>842</v>
      </c>
      <c r="M351" s="14">
        <v>2</v>
      </c>
      <c r="N351" s="14">
        <v>39.950000000000003</v>
      </c>
      <c r="O351" s="9" t="s">
        <v>632</v>
      </c>
      <c r="P351" s="12" t="s">
        <v>1094</v>
      </c>
      <c r="Q351" s="9" t="s">
        <v>442</v>
      </c>
      <c r="R351" s="9" t="s">
        <v>153</v>
      </c>
      <c r="S351" s="14">
        <f t="shared" si="129"/>
        <v>165</v>
      </c>
      <c r="T351" s="14">
        <v>234</v>
      </c>
    </row>
    <row r="352" spans="1:20" x14ac:dyDescent="0.2">
      <c r="A352" s="7" t="s">
        <v>1095</v>
      </c>
      <c r="B352" s="14">
        <v>2023</v>
      </c>
      <c r="C352" s="9" t="s">
        <v>21</v>
      </c>
      <c r="D352" s="9" t="s">
        <v>4</v>
      </c>
      <c r="E352" s="9" t="s">
        <v>634</v>
      </c>
      <c r="F352" s="14">
        <v>168</v>
      </c>
      <c r="G352" s="9" t="s">
        <v>1093</v>
      </c>
      <c r="H352" s="9">
        <f t="shared" ref="H352" si="177">YEAR(G352)</f>
        <v>2025</v>
      </c>
      <c r="I352" s="9">
        <f t="shared" ref="I352" si="178">MONTH(G352)</f>
        <v>5</v>
      </c>
      <c r="J352" s="9" t="s">
        <v>153</v>
      </c>
      <c r="K352" s="9" t="s">
        <v>153</v>
      </c>
      <c r="L352" s="9" t="s">
        <v>343</v>
      </c>
      <c r="M352" s="14">
        <v>2</v>
      </c>
      <c r="N352" s="14">
        <v>35.99</v>
      </c>
      <c r="O352" s="9" t="s">
        <v>632</v>
      </c>
      <c r="P352" s="7" t="s">
        <v>1096</v>
      </c>
      <c r="Q352" s="9" t="s">
        <v>1067</v>
      </c>
      <c r="R352" s="9" t="s">
        <v>153</v>
      </c>
      <c r="S352" s="14">
        <f t="shared" si="129"/>
        <v>83</v>
      </c>
      <c r="T352" s="14">
        <v>197</v>
      </c>
    </row>
    <row r="353" spans="1:20" x14ac:dyDescent="0.2">
      <c r="A353" s="7" t="s">
        <v>1097</v>
      </c>
      <c r="B353" s="14">
        <v>2025</v>
      </c>
      <c r="C353" s="9" t="s">
        <v>21</v>
      </c>
      <c r="D353" s="9" t="s">
        <v>4</v>
      </c>
      <c r="E353" s="9" t="s">
        <v>634</v>
      </c>
      <c r="F353" s="14">
        <v>345</v>
      </c>
      <c r="G353" s="9" t="s">
        <v>1098</v>
      </c>
      <c r="H353" s="9">
        <f t="shared" ref="H353" si="179">YEAR(G353)</f>
        <v>2025</v>
      </c>
      <c r="I353" s="9">
        <f t="shared" ref="I353" si="180">MONTH(G353)</f>
        <v>6</v>
      </c>
      <c r="J353" s="9" t="s">
        <v>153</v>
      </c>
      <c r="K353" s="9" t="s">
        <v>153</v>
      </c>
      <c r="L353" s="9" t="s">
        <v>1073</v>
      </c>
      <c r="M353" s="14">
        <v>2</v>
      </c>
      <c r="N353" s="14">
        <v>37.950000000000003</v>
      </c>
      <c r="O353" s="9" t="s">
        <v>632</v>
      </c>
      <c r="P353" s="7" t="s">
        <v>1099</v>
      </c>
      <c r="Q353" s="9" t="s">
        <v>1067</v>
      </c>
      <c r="R353" s="9" t="s">
        <v>153</v>
      </c>
      <c r="S353" s="14">
        <f t="shared" si="129"/>
        <v>85</v>
      </c>
      <c r="T353" s="14">
        <v>430</v>
      </c>
    </row>
    <row r="354" spans="1:20" x14ac:dyDescent="0.2">
      <c r="A354" s="7" t="s">
        <v>1100</v>
      </c>
      <c r="B354" s="14">
        <v>2024</v>
      </c>
      <c r="C354" s="9" t="s">
        <v>21</v>
      </c>
      <c r="D354" s="9" t="s">
        <v>4</v>
      </c>
      <c r="E354" s="9" t="s">
        <v>634</v>
      </c>
      <c r="F354" s="14">
        <v>59</v>
      </c>
      <c r="G354" s="9" t="s">
        <v>1101</v>
      </c>
      <c r="H354" s="9">
        <f t="shared" ref="H354" si="181">YEAR(G354)</f>
        <v>2025</v>
      </c>
      <c r="I354" s="9">
        <f t="shared" ref="I354" si="182">MONTH(G354)</f>
        <v>6</v>
      </c>
      <c r="J354" s="9" t="s">
        <v>153</v>
      </c>
      <c r="K354" s="9" t="s">
        <v>153</v>
      </c>
      <c r="L354" s="9" t="s">
        <v>570</v>
      </c>
      <c r="M354" s="14">
        <v>3</v>
      </c>
      <c r="N354" s="14">
        <v>49.99</v>
      </c>
      <c r="O354" s="9" t="s">
        <v>632</v>
      </c>
      <c r="P354" s="7" t="s">
        <v>1102</v>
      </c>
      <c r="Q354" s="9" t="s">
        <v>1187</v>
      </c>
      <c r="R354" s="9" t="s">
        <v>153</v>
      </c>
      <c r="S354" s="14">
        <f t="shared" si="129"/>
        <v>99</v>
      </c>
      <c r="T354" s="14">
        <v>216</v>
      </c>
    </row>
    <row r="355" spans="1:20" x14ac:dyDescent="0.2">
      <c r="A355" s="7" t="s">
        <v>1103</v>
      </c>
      <c r="B355" s="14">
        <v>2025</v>
      </c>
      <c r="C355" s="9" t="s">
        <v>21</v>
      </c>
      <c r="D355" s="9" t="s">
        <v>4</v>
      </c>
      <c r="E355" s="9" t="s">
        <v>634</v>
      </c>
      <c r="F355" s="14">
        <v>160</v>
      </c>
      <c r="G355" s="9" t="s">
        <v>1101</v>
      </c>
      <c r="H355" s="9">
        <f t="shared" ref="H355" si="183">YEAR(G355)</f>
        <v>2025</v>
      </c>
      <c r="I355" s="9">
        <f t="shared" ref="I355" si="184">MONTH(G355)</f>
        <v>6</v>
      </c>
      <c r="J355" s="9" t="s">
        <v>153</v>
      </c>
      <c r="K355" s="9" t="s">
        <v>153</v>
      </c>
      <c r="L355" s="9" t="s">
        <v>1104</v>
      </c>
      <c r="M355" s="14">
        <v>3</v>
      </c>
      <c r="N355" s="14">
        <v>42.99</v>
      </c>
      <c r="O355" s="9" t="s">
        <v>632</v>
      </c>
      <c r="P355" s="7" t="s">
        <v>1105</v>
      </c>
      <c r="Q355" s="9" t="s">
        <v>923</v>
      </c>
      <c r="R355" s="9" t="s">
        <v>153</v>
      </c>
      <c r="S355" s="14">
        <f t="shared" si="129"/>
        <v>51</v>
      </c>
      <c r="T355" s="14">
        <v>217</v>
      </c>
    </row>
    <row r="356" spans="1:20" x14ac:dyDescent="0.2">
      <c r="A356" s="7" t="s">
        <v>1202</v>
      </c>
      <c r="B356" s="14">
        <v>2020</v>
      </c>
      <c r="C356" s="9" t="s">
        <v>21</v>
      </c>
      <c r="D356" s="9" t="s">
        <v>4</v>
      </c>
      <c r="E356" s="9" t="s">
        <v>634</v>
      </c>
      <c r="F356" s="14">
        <v>321</v>
      </c>
      <c r="G356" s="9" t="s">
        <v>1106</v>
      </c>
      <c r="H356" s="9">
        <f t="shared" ref="H356" si="185">YEAR(G356)</f>
        <v>2025</v>
      </c>
      <c r="I356" s="9">
        <f t="shared" ref="I356" si="186">MONTH(G356)</f>
        <v>6</v>
      </c>
      <c r="J356" s="9" t="s">
        <v>153</v>
      </c>
      <c r="K356" s="9" t="s">
        <v>153</v>
      </c>
      <c r="L356" s="9" t="s">
        <v>346</v>
      </c>
      <c r="M356" s="14">
        <v>3</v>
      </c>
      <c r="N356" s="14">
        <v>38.58</v>
      </c>
      <c r="O356" s="9" t="s">
        <v>632</v>
      </c>
      <c r="P356" s="7" t="s">
        <v>1107</v>
      </c>
      <c r="Q356" s="9" t="s">
        <v>923</v>
      </c>
      <c r="R356" s="9" t="s">
        <v>153</v>
      </c>
      <c r="S356" s="14">
        <f t="shared" si="129"/>
        <v>53</v>
      </c>
      <c r="T356" s="14">
        <v>518</v>
      </c>
    </row>
    <row r="357" spans="1:20" x14ac:dyDescent="0.2">
      <c r="A357" s="7" t="s">
        <v>1108</v>
      </c>
      <c r="B357" s="14">
        <v>2025</v>
      </c>
      <c r="C357" s="9" t="s">
        <v>21</v>
      </c>
      <c r="D357" s="9" t="s">
        <v>4</v>
      </c>
      <c r="E357" s="9" t="s">
        <v>634</v>
      </c>
      <c r="F357" s="14">
        <v>123</v>
      </c>
      <c r="G357" s="9" t="s">
        <v>1109</v>
      </c>
      <c r="H357" s="9">
        <f t="shared" ref="H357" si="187">YEAR(G357)</f>
        <v>2025</v>
      </c>
      <c r="I357" s="9">
        <f t="shared" ref="I357" si="188">MONTH(G357)</f>
        <v>6</v>
      </c>
      <c r="J357" s="9" t="s">
        <v>153</v>
      </c>
      <c r="K357" s="9" t="s">
        <v>153</v>
      </c>
      <c r="L357" s="9" t="s">
        <v>570</v>
      </c>
      <c r="M357" s="14">
        <v>2</v>
      </c>
      <c r="N357" s="35">
        <v>0</v>
      </c>
      <c r="O357" s="9" t="s">
        <v>632</v>
      </c>
      <c r="P357" s="7" t="s">
        <v>1111</v>
      </c>
      <c r="Q357" s="9" t="s">
        <v>470</v>
      </c>
      <c r="R357" s="9" t="s">
        <v>153</v>
      </c>
      <c r="S357" s="14">
        <f t="shared" si="129"/>
        <v>50</v>
      </c>
      <c r="T357" s="14">
        <v>124</v>
      </c>
    </row>
    <row r="358" spans="1:20" x14ac:dyDescent="0.2">
      <c r="A358" s="7" t="s">
        <v>1110</v>
      </c>
      <c r="B358" s="14">
        <v>2020</v>
      </c>
      <c r="C358" s="9" t="s">
        <v>21</v>
      </c>
      <c r="D358" s="9" t="s">
        <v>4</v>
      </c>
      <c r="E358" s="9" t="s">
        <v>634</v>
      </c>
      <c r="F358" s="14">
        <v>131</v>
      </c>
      <c r="G358" s="9" t="s">
        <v>1112</v>
      </c>
      <c r="H358" s="9">
        <f t="shared" ref="H358" si="189">YEAR(G358)</f>
        <v>2025</v>
      </c>
      <c r="I358" s="9">
        <f t="shared" ref="I358" si="190">MONTH(G358)</f>
        <v>7</v>
      </c>
      <c r="J358" s="9" t="s">
        <v>153</v>
      </c>
      <c r="K358" s="9" t="s">
        <v>153</v>
      </c>
      <c r="L358" s="9" t="s">
        <v>362</v>
      </c>
      <c r="M358" s="14">
        <v>3</v>
      </c>
      <c r="N358" s="14">
        <v>26.95</v>
      </c>
      <c r="O358" s="9" t="s">
        <v>632</v>
      </c>
      <c r="P358" s="7" t="s">
        <v>642</v>
      </c>
      <c r="Q358" s="9" t="s">
        <v>923</v>
      </c>
      <c r="R358" s="9" t="s">
        <v>153</v>
      </c>
      <c r="S358" s="14">
        <f t="shared" si="129"/>
        <v>16</v>
      </c>
      <c r="T358" s="14">
        <v>338</v>
      </c>
    </row>
    <row r="359" spans="1:20" x14ac:dyDescent="0.2">
      <c r="A359" s="7" t="s">
        <v>1113</v>
      </c>
      <c r="B359" s="14">
        <v>2025</v>
      </c>
      <c r="C359" s="9" t="s">
        <v>21</v>
      </c>
      <c r="D359" s="9" t="s">
        <v>4</v>
      </c>
      <c r="E359" s="9" t="s">
        <v>634</v>
      </c>
      <c r="F359" s="14">
        <v>485</v>
      </c>
      <c r="G359" s="9" t="s">
        <v>1112</v>
      </c>
      <c r="H359" s="9">
        <f t="shared" ref="H359" si="191">YEAR(G359)</f>
        <v>2025</v>
      </c>
      <c r="I359" s="9">
        <f t="shared" ref="I359" si="192">MONTH(G359)</f>
        <v>7</v>
      </c>
      <c r="J359" s="9" t="s">
        <v>153</v>
      </c>
      <c r="K359" s="9" t="s">
        <v>153</v>
      </c>
      <c r="L359" s="9" t="s">
        <v>348</v>
      </c>
      <c r="M359" s="14">
        <v>2</v>
      </c>
      <c r="N359" s="14">
        <v>38.89</v>
      </c>
      <c r="O359" s="9" t="s">
        <v>632</v>
      </c>
      <c r="P359" s="7" t="s">
        <v>1116</v>
      </c>
      <c r="Q359" s="9" t="s">
        <v>923</v>
      </c>
      <c r="R359" s="9" t="s">
        <v>153</v>
      </c>
      <c r="S359" s="14">
        <f t="shared" si="129"/>
        <v>131</v>
      </c>
      <c r="T359" s="14">
        <v>135</v>
      </c>
    </row>
    <row r="360" spans="1:20" x14ac:dyDescent="0.2">
      <c r="A360" s="7" t="s">
        <v>1114</v>
      </c>
      <c r="B360" s="14">
        <v>2024</v>
      </c>
      <c r="C360" s="9" t="s">
        <v>21</v>
      </c>
      <c r="D360" s="9" t="s">
        <v>4</v>
      </c>
      <c r="E360" s="9" t="s">
        <v>634</v>
      </c>
      <c r="F360" s="14">
        <v>569</v>
      </c>
      <c r="G360" s="9" t="s">
        <v>1115</v>
      </c>
      <c r="H360" s="9">
        <f t="shared" ref="H360" si="193">YEAR(G360)</f>
        <v>2025</v>
      </c>
      <c r="I360" s="9">
        <f t="shared" ref="I360" si="194">MONTH(G360)</f>
        <v>7</v>
      </c>
      <c r="J360" s="9" t="s">
        <v>153</v>
      </c>
      <c r="K360" s="9" t="s">
        <v>153</v>
      </c>
      <c r="L360" s="9" t="s">
        <v>570</v>
      </c>
      <c r="M360" s="14">
        <v>2</v>
      </c>
      <c r="N360" s="14">
        <v>58.99</v>
      </c>
      <c r="O360" s="9" t="s">
        <v>632</v>
      </c>
      <c r="P360" s="7" t="s">
        <v>1117</v>
      </c>
      <c r="Q360" s="9" t="s">
        <v>919</v>
      </c>
      <c r="R360" s="9" t="s">
        <v>153</v>
      </c>
      <c r="S360" s="14">
        <f t="shared" si="129"/>
        <v>89</v>
      </c>
      <c r="T360" s="14">
        <v>376</v>
      </c>
    </row>
    <row r="361" spans="1:20" x14ac:dyDescent="0.2">
      <c r="A361" s="7" t="s">
        <v>1118</v>
      </c>
      <c r="B361" s="14">
        <v>2024</v>
      </c>
      <c r="C361" s="9" t="s">
        <v>21</v>
      </c>
      <c r="D361" s="9" t="s">
        <v>4</v>
      </c>
      <c r="E361" s="9" t="s">
        <v>634</v>
      </c>
      <c r="F361" s="14">
        <v>236</v>
      </c>
      <c r="G361" s="9" t="s">
        <v>1119</v>
      </c>
      <c r="H361" s="9">
        <f t="shared" ref="H361" si="195">YEAR(G361)</f>
        <v>2025</v>
      </c>
      <c r="I361" s="9">
        <f t="shared" ref="I361" si="196">MONTH(G361)</f>
        <v>7</v>
      </c>
      <c r="J361" s="9" t="s">
        <v>153</v>
      </c>
      <c r="K361" s="9" t="s">
        <v>153</v>
      </c>
      <c r="L361" s="9" t="s">
        <v>570</v>
      </c>
      <c r="M361" s="14">
        <v>1</v>
      </c>
      <c r="N361" s="14">
        <v>129</v>
      </c>
      <c r="O361" s="9" t="s">
        <v>632</v>
      </c>
      <c r="P361" s="12" t="s">
        <v>1120</v>
      </c>
      <c r="Q361" s="9" t="s">
        <v>1155</v>
      </c>
      <c r="R361" s="9" t="s">
        <v>153</v>
      </c>
      <c r="S361" s="14">
        <f t="shared" si="129"/>
        <v>206</v>
      </c>
      <c r="T361" s="14">
        <v>278</v>
      </c>
    </row>
    <row r="362" spans="1:20" x14ac:dyDescent="0.2">
      <c r="A362" s="7" t="s">
        <v>1121</v>
      </c>
      <c r="B362" s="14">
        <v>2024</v>
      </c>
      <c r="C362" s="9" t="s">
        <v>21</v>
      </c>
      <c r="D362" s="9" t="s">
        <v>4</v>
      </c>
      <c r="E362" s="9" t="s">
        <v>634</v>
      </c>
      <c r="F362" s="14">
        <v>265</v>
      </c>
      <c r="G362" s="9" t="s">
        <v>1122</v>
      </c>
      <c r="H362" s="9">
        <f t="shared" ref="H362:H363" si="197">YEAR(G362)</f>
        <v>2025</v>
      </c>
      <c r="I362" s="9">
        <f t="shared" ref="I362:I363" si="198">MONTH(G362)</f>
        <v>7</v>
      </c>
      <c r="J362" s="9" t="s">
        <v>153</v>
      </c>
      <c r="K362" s="9" t="s">
        <v>153</v>
      </c>
      <c r="L362" s="9" t="s">
        <v>570</v>
      </c>
      <c r="M362" s="14">
        <v>5</v>
      </c>
      <c r="N362" s="35">
        <v>0</v>
      </c>
      <c r="O362" s="9" t="s">
        <v>632</v>
      </c>
      <c r="P362" s="12" t="s">
        <v>1123</v>
      </c>
      <c r="Q362" s="9" t="s">
        <v>1199</v>
      </c>
      <c r="R362" s="9" t="s">
        <v>153</v>
      </c>
      <c r="S362" s="14">
        <f t="shared" si="129"/>
        <v>158</v>
      </c>
      <c r="T362" s="14">
        <v>290</v>
      </c>
    </row>
    <row r="363" spans="1:20" x14ac:dyDescent="0.2">
      <c r="A363" s="7" t="s">
        <v>1124</v>
      </c>
      <c r="B363" s="14">
        <v>2025</v>
      </c>
      <c r="C363" s="9" t="s">
        <v>21</v>
      </c>
      <c r="D363" s="9" t="s">
        <v>4</v>
      </c>
      <c r="E363" s="9" t="s">
        <v>634</v>
      </c>
      <c r="F363" s="14">
        <v>362</v>
      </c>
      <c r="G363" s="9" t="s">
        <v>1125</v>
      </c>
      <c r="H363" s="9">
        <f t="shared" si="197"/>
        <v>2025</v>
      </c>
      <c r="I363" s="9">
        <f t="shared" si="198"/>
        <v>8</v>
      </c>
      <c r="J363" s="9" t="s">
        <v>153</v>
      </c>
      <c r="K363" s="9" t="s">
        <v>153</v>
      </c>
      <c r="L363" s="9" t="s">
        <v>341</v>
      </c>
      <c r="M363" s="14">
        <v>3</v>
      </c>
      <c r="N363" s="14">
        <v>44.99</v>
      </c>
      <c r="O363" s="9" t="s">
        <v>632</v>
      </c>
      <c r="P363" s="7" t="s">
        <v>1126</v>
      </c>
      <c r="Q363" s="9" t="s">
        <v>538</v>
      </c>
      <c r="R363" s="9" t="s">
        <v>153</v>
      </c>
      <c r="S363" s="14">
        <f t="shared" si="129"/>
        <v>65</v>
      </c>
      <c r="T363" s="14">
        <v>362</v>
      </c>
    </row>
    <row r="364" spans="1:20" x14ac:dyDescent="0.2">
      <c r="A364" s="7" t="s">
        <v>1161</v>
      </c>
      <c r="B364" s="14">
        <v>2013</v>
      </c>
      <c r="C364" s="9" t="s">
        <v>21</v>
      </c>
      <c r="D364" s="9" t="s">
        <v>4</v>
      </c>
      <c r="E364" s="9" t="s">
        <v>634</v>
      </c>
      <c r="F364" s="41">
        <v>135</v>
      </c>
      <c r="G364" s="9" t="s">
        <v>1162</v>
      </c>
      <c r="H364" s="9">
        <f t="shared" ref="H364" si="199">YEAR(G364)</f>
        <v>2025</v>
      </c>
      <c r="I364" s="9">
        <f t="shared" ref="I364" si="200">MONTH(G364)</f>
        <v>8</v>
      </c>
      <c r="J364" s="9" t="s">
        <v>153</v>
      </c>
      <c r="K364" s="9" t="s">
        <v>153</v>
      </c>
      <c r="L364" s="9" t="s">
        <v>350</v>
      </c>
      <c r="M364" s="41">
        <v>4</v>
      </c>
      <c r="N364" s="35">
        <v>0</v>
      </c>
      <c r="O364" s="9" t="s">
        <v>632</v>
      </c>
      <c r="P364" s="7" t="s">
        <v>1163</v>
      </c>
      <c r="Q364" s="9" t="s">
        <v>1155</v>
      </c>
      <c r="R364" s="9" t="s">
        <v>153</v>
      </c>
      <c r="S364" s="14">
        <f t="shared" si="129"/>
        <v>47</v>
      </c>
      <c r="T364" s="14">
        <v>218</v>
      </c>
    </row>
    <row r="365" spans="1:20" x14ac:dyDescent="0.2">
      <c r="A365" s="7" t="s">
        <v>1164</v>
      </c>
      <c r="B365" s="14">
        <v>2015</v>
      </c>
      <c r="C365" s="9" t="s">
        <v>21</v>
      </c>
      <c r="D365" s="9" t="s">
        <v>4</v>
      </c>
      <c r="E365" s="9" t="s">
        <v>634</v>
      </c>
      <c r="F365" s="41">
        <v>464</v>
      </c>
      <c r="G365" s="9" t="s">
        <v>1165</v>
      </c>
      <c r="H365" s="9">
        <f t="shared" ref="H365" si="201">YEAR(G365)</f>
        <v>2025</v>
      </c>
      <c r="I365" s="9">
        <f t="shared" ref="I365" si="202">MONTH(G365)</f>
        <v>8</v>
      </c>
      <c r="J365" s="9" t="s">
        <v>153</v>
      </c>
      <c r="K365" s="9" t="s">
        <v>153</v>
      </c>
      <c r="L365" s="9" t="s">
        <v>341</v>
      </c>
      <c r="M365" s="14">
        <v>3</v>
      </c>
      <c r="N365" s="41">
        <v>60.99</v>
      </c>
      <c r="O365" s="9" t="s">
        <v>632</v>
      </c>
      <c r="P365" s="7" t="s">
        <v>1166</v>
      </c>
      <c r="Q365" s="9" t="s">
        <v>1155</v>
      </c>
      <c r="R365" s="9" t="s">
        <v>153</v>
      </c>
      <c r="S365" s="14">
        <f t="shared" si="129"/>
        <v>46</v>
      </c>
      <c r="T365" s="14">
        <v>299</v>
      </c>
    </row>
    <row r="366" spans="1:20" x14ac:dyDescent="0.2">
      <c r="A366" s="7" t="s">
        <v>1167</v>
      </c>
      <c r="B366" s="14">
        <v>2013</v>
      </c>
      <c r="C366" s="9" t="s">
        <v>21</v>
      </c>
      <c r="D366" s="9" t="s">
        <v>4</v>
      </c>
      <c r="E366" s="9" t="s">
        <v>634</v>
      </c>
      <c r="F366" s="41">
        <v>369</v>
      </c>
      <c r="G366" s="9" t="s">
        <v>1169</v>
      </c>
      <c r="H366" s="9">
        <f t="shared" ref="H366" si="203">YEAR(G366)</f>
        <v>2025</v>
      </c>
      <c r="I366" s="9">
        <f t="shared" ref="I366:I367" si="204">MONTH(G366)</f>
        <v>11</v>
      </c>
      <c r="J366" s="9" t="s">
        <v>153</v>
      </c>
      <c r="K366" s="9" t="s">
        <v>153</v>
      </c>
      <c r="L366" s="9" t="s">
        <v>1168</v>
      </c>
      <c r="M366" s="14">
        <v>2</v>
      </c>
      <c r="N366" s="41">
        <v>19.989999999999998</v>
      </c>
      <c r="O366" s="9" t="s">
        <v>632</v>
      </c>
      <c r="P366" s="7" t="s">
        <v>1170</v>
      </c>
      <c r="Q366" s="9" t="s">
        <v>1067</v>
      </c>
      <c r="R366" s="9" t="s">
        <v>153</v>
      </c>
      <c r="S366" s="14">
        <f t="shared" si="129"/>
        <v>155</v>
      </c>
      <c r="T366" s="14">
        <v>284</v>
      </c>
    </row>
    <row r="367" spans="1:20" x14ac:dyDescent="0.2">
      <c r="A367" s="7" t="s">
        <v>1171</v>
      </c>
      <c r="B367" s="14">
        <v>2025</v>
      </c>
      <c r="C367" s="9" t="s">
        <v>21</v>
      </c>
      <c r="D367" s="9" t="s">
        <v>4</v>
      </c>
      <c r="E367" s="9" t="s">
        <v>634</v>
      </c>
      <c r="F367" s="41">
        <v>78</v>
      </c>
      <c r="G367" s="9" t="s">
        <v>1169</v>
      </c>
      <c r="H367" s="9">
        <f t="shared" ref="H367" si="205">YEAR(G367)</f>
        <v>2025</v>
      </c>
      <c r="I367" s="9">
        <f t="shared" si="204"/>
        <v>11</v>
      </c>
      <c r="J367" s="9" t="s">
        <v>152</v>
      </c>
      <c r="K367" s="9" t="s">
        <v>153</v>
      </c>
      <c r="L367" s="9" t="s">
        <v>570</v>
      </c>
      <c r="M367" s="41">
        <v>5</v>
      </c>
      <c r="N367" s="35">
        <v>0</v>
      </c>
      <c r="O367" s="9" t="s">
        <v>632</v>
      </c>
      <c r="P367" s="38" t="s">
        <v>1172</v>
      </c>
      <c r="Q367" s="9" t="s">
        <v>1067</v>
      </c>
      <c r="R367" s="9" t="s">
        <v>153</v>
      </c>
      <c r="S367" s="14">
        <f t="shared" si="129"/>
        <v>72</v>
      </c>
      <c r="T367" s="14">
        <v>501</v>
      </c>
    </row>
    <row r="368" spans="1:20" x14ac:dyDescent="0.2">
      <c r="A368" s="7" t="s">
        <v>1173</v>
      </c>
      <c r="B368" s="14">
        <v>2025</v>
      </c>
      <c r="C368" s="9" t="s">
        <v>21</v>
      </c>
      <c r="D368" s="9" t="s">
        <v>4</v>
      </c>
      <c r="E368" s="9" t="s">
        <v>634</v>
      </c>
      <c r="F368" s="41">
        <v>43</v>
      </c>
      <c r="G368" s="9" t="s">
        <v>1174</v>
      </c>
      <c r="H368" s="9">
        <f t="shared" ref="H368" si="206">YEAR(G368)</f>
        <v>2025</v>
      </c>
      <c r="I368" s="9">
        <f t="shared" ref="I368" si="207">MONTH(G368)</f>
        <v>11</v>
      </c>
      <c r="J368" s="9" t="s">
        <v>153</v>
      </c>
      <c r="K368" s="9" t="s">
        <v>153</v>
      </c>
      <c r="L368" s="9" t="s">
        <v>570</v>
      </c>
      <c r="M368" s="14">
        <v>1</v>
      </c>
      <c r="N368" s="35">
        <v>0</v>
      </c>
      <c r="O368" s="9" t="s">
        <v>632</v>
      </c>
      <c r="P368" s="7" t="s">
        <v>1175</v>
      </c>
      <c r="Q368" s="9" t="s">
        <v>919</v>
      </c>
      <c r="R368" s="9" t="s">
        <v>153</v>
      </c>
      <c r="S368" s="14">
        <f t="shared" si="129"/>
        <v>94</v>
      </c>
      <c r="T368" s="14">
        <v>128</v>
      </c>
    </row>
    <row r="369" spans="1:20" x14ac:dyDescent="0.2">
      <c r="A369" s="7" t="s">
        <v>1176</v>
      </c>
      <c r="B369" s="41">
        <v>2022</v>
      </c>
      <c r="C369" s="9" t="s">
        <v>21</v>
      </c>
      <c r="D369" s="9" t="s">
        <v>4</v>
      </c>
      <c r="E369" s="9" t="s">
        <v>634</v>
      </c>
      <c r="F369" s="41">
        <v>236</v>
      </c>
      <c r="G369" s="9" t="s">
        <v>1174</v>
      </c>
      <c r="H369" s="9">
        <f t="shared" ref="H369" si="208">YEAR(G369)</f>
        <v>2025</v>
      </c>
      <c r="I369" s="9">
        <f t="shared" ref="I369" si="209">MONTH(G369)</f>
        <v>11</v>
      </c>
      <c r="J369" s="9" t="s">
        <v>153</v>
      </c>
      <c r="K369" s="9" t="s">
        <v>153</v>
      </c>
      <c r="L369" s="9" t="s">
        <v>341</v>
      </c>
      <c r="M369" s="14">
        <v>3</v>
      </c>
      <c r="N369" s="41">
        <v>31.99</v>
      </c>
      <c r="O369" s="9" t="s">
        <v>632</v>
      </c>
      <c r="P369" s="7" t="s">
        <v>1177</v>
      </c>
      <c r="Q369" s="9" t="s">
        <v>839</v>
      </c>
      <c r="R369" s="9" t="s">
        <v>153</v>
      </c>
      <c r="S369" s="14">
        <f t="shared" si="129"/>
        <v>37</v>
      </c>
      <c r="T369" s="14">
        <v>132</v>
      </c>
    </row>
    <row r="370" spans="1:20" x14ac:dyDescent="0.2">
      <c r="A370" s="7" t="s">
        <v>1178</v>
      </c>
      <c r="B370" s="41">
        <v>2024</v>
      </c>
      <c r="C370" s="9" t="s">
        <v>21</v>
      </c>
      <c r="D370" s="9" t="s">
        <v>4</v>
      </c>
      <c r="E370" s="9" t="s">
        <v>634</v>
      </c>
      <c r="F370" s="41">
        <v>445</v>
      </c>
      <c r="G370" s="9" t="s">
        <v>1174</v>
      </c>
      <c r="H370" s="9">
        <f t="shared" ref="H370" si="210">YEAR(G370)</f>
        <v>2025</v>
      </c>
      <c r="I370" s="9">
        <f t="shared" ref="I370" si="211">MONTH(G370)</f>
        <v>11</v>
      </c>
      <c r="J370" s="9" t="s">
        <v>153</v>
      </c>
      <c r="K370" s="9" t="s">
        <v>153</v>
      </c>
      <c r="L370" s="9" t="s">
        <v>341</v>
      </c>
      <c r="M370" s="14">
        <v>1</v>
      </c>
      <c r="N370" s="41">
        <v>43.99</v>
      </c>
      <c r="O370" s="9" t="s">
        <v>632</v>
      </c>
      <c r="P370" s="7" t="s">
        <v>1179</v>
      </c>
      <c r="Q370" s="9" t="s">
        <v>919</v>
      </c>
      <c r="R370" s="9" t="s">
        <v>153</v>
      </c>
      <c r="S370" s="14">
        <f t="shared" si="129"/>
        <v>148</v>
      </c>
      <c r="T370" s="14">
        <v>532</v>
      </c>
    </row>
    <row r="371" spans="1:20" x14ac:dyDescent="0.2">
      <c r="A371" s="7" t="s">
        <v>1180</v>
      </c>
      <c r="B371" s="41">
        <v>2025</v>
      </c>
      <c r="C371" s="9" t="s">
        <v>21</v>
      </c>
      <c r="D371" s="9" t="s">
        <v>4</v>
      </c>
      <c r="E371" s="9" t="s">
        <v>634</v>
      </c>
      <c r="F371" s="41">
        <v>82</v>
      </c>
      <c r="G371" s="9" t="s">
        <v>1181</v>
      </c>
      <c r="H371" s="9">
        <f t="shared" ref="H371" si="212">YEAR(G371)</f>
        <v>2025</v>
      </c>
      <c r="I371" s="9">
        <f t="shared" ref="I371" si="213">MONTH(G371)</f>
        <v>11</v>
      </c>
      <c r="J371" s="9" t="s">
        <v>153</v>
      </c>
      <c r="K371" s="9" t="s">
        <v>152</v>
      </c>
      <c r="L371" s="9" t="s">
        <v>343</v>
      </c>
      <c r="M371" s="41">
        <v>4</v>
      </c>
      <c r="N371" s="41">
        <v>79.989999999999995</v>
      </c>
      <c r="O371" s="9" t="s">
        <v>632</v>
      </c>
      <c r="P371" s="7" t="s">
        <v>1182</v>
      </c>
      <c r="Q371" s="9" t="s">
        <v>919</v>
      </c>
      <c r="R371" s="9" t="s">
        <v>153</v>
      </c>
      <c r="S371" s="14">
        <f t="shared" si="129"/>
        <v>45</v>
      </c>
      <c r="T371" s="14">
        <v>334</v>
      </c>
    </row>
    <row r="372" spans="1:20" x14ac:dyDescent="0.2">
      <c r="A372" s="7" t="s">
        <v>1183</v>
      </c>
      <c r="B372" s="41">
        <v>2025</v>
      </c>
      <c r="C372" s="9" t="s">
        <v>21</v>
      </c>
      <c r="D372" s="9" t="s">
        <v>4</v>
      </c>
      <c r="E372" s="9" t="s">
        <v>634</v>
      </c>
      <c r="F372" s="41">
        <v>368</v>
      </c>
      <c r="G372" s="9" t="s">
        <v>1184</v>
      </c>
      <c r="H372" s="9">
        <f t="shared" ref="H372" si="214">YEAR(G372)</f>
        <v>2025</v>
      </c>
      <c r="I372" s="9">
        <f t="shared" ref="I372" si="215">MONTH(G372)</f>
        <v>11</v>
      </c>
      <c r="J372" s="9" t="s">
        <v>153</v>
      </c>
      <c r="K372" s="9" t="s">
        <v>153</v>
      </c>
      <c r="L372" s="9" t="s">
        <v>345</v>
      </c>
      <c r="M372" s="14">
        <v>3</v>
      </c>
      <c r="N372" s="41">
        <v>49.99</v>
      </c>
      <c r="O372" s="9" t="s">
        <v>632</v>
      </c>
      <c r="P372" s="7" t="s">
        <v>1185</v>
      </c>
      <c r="Q372" s="9" t="s">
        <v>919</v>
      </c>
      <c r="R372" s="9" t="s">
        <v>153</v>
      </c>
      <c r="S372" s="14">
        <f t="shared" si="129"/>
        <v>100</v>
      </c>
      <c r="T372" s="14">
        <v>531</v>
      </c>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row r="380" spans="1:20" x14ac:dyDescent="0.2">
      <c r="A380" s="9"/>
      <c r="B380" s="9"/>
      <c r="C380" s="9"/>
      <c r="D380" s="9"/>
      <c r="E380" s="9"/>
      <c r="F380" s="9"/>
      <c r="G380" s="9"/>
      <c r="H380" s="9"/>
      <c r="I380" s="9"/>
      <c r="J380" s="9"/>
      <c r="K380" s="9"/>
      <c r="L380" s="9"/>
      <c r="M380" s="9"/>
      <c r="N380" s="9"/>
      <c r="O380" s="9"/>
      <c r="P380" s="9"/>
      <c r="Q380" s="9"/>
      <c r="R380" s="9"/>
      <c r="S380" s="14"/>
      <c r="T380" s="9"/>
    </row>
    <row r="381" spans="1:20" x14ac:dyDescent="0.2">
      <c r="A381" s="9"/>
      <c r="B381" s="9"/>
      <c r="C381" s="9"/>
      <c r="D381" s="9"/>
      <c r="E381" s="9"/>
      <c r="F381" s="9"/>
      <c r="G381" s="9"/>
      <c r="H381" s="9"/>
      <c r="I381" s="9"/>
      <c r="J381" s="9"/>
      <c r="K381" s="9"/>
      <c r="L381" s="9"/>
      <c r="M381" s="9"/>
      <c r="N381" s="9"/>
      <c r="O381" s="9"/>
      <c r="P381" s="9"/>
      <c r="Q381" s="9"/>
      <c r="R381" s="9"/>
      <c r="S381" s="14"/>
      <c r="T381"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2025-12-15T16:57:24Z</dcterms:modified>
</cp:coreProperties>
</file>